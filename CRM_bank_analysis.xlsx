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0.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F:\OneDrive\Desktop\Newton Aug 2025\03 Power BI\CRM Project\"/>
    </mc:Choice>
  </mc:AlternateContent>
  <xr:revisionPtr revIDLastSave="0" documentId="13_ncr:1_{D8F6112F-6BC5-433C-A49B-17E052801A66}" xr6:coauthVersionLast="47" xr6:coauthVersionMax="47" xr10:uidLastSave="{00000000-0000-0000-0000-000000000000}"/>
  <bookViews>
    <workbookView xWindow="-108" yWindow="-108" windowWidth="23256" windowHeight="12576" firstSheet="4" activeTab="8" xr2:uid="{478C6379-4F7B-42F0-B094-7B57217068D3}"/>
  </bookViews>
  <sheets>
    <sheet name="Objective Q2" sheetId="1" r:id="rId1"/>
    <sheet name="Objective Q5" sheetId="2" r:id="rId2"/>
    <sheet name="Objective 6" sheetId="3" r:id="rId3"/>
    <sheet name="Qbjective 7" sheetId="4" r:id="rId4"/>
    <sheet name="Objective 8" sheetId="5" r:id="rId5"/>
    <sheet name="Objective 11" sheetId="6" r:id="rId6"/>
    <sheet name="Objective 15" sheetId="7" r:id="rId7"/>
    <sheet name="Objective 16" sheetId="8" r:id="rId8"/>
    <sheet name="Objective 19" sheetId="9" r:id="rId9"/>
    <sheet name="Subjective Q9" sheetId="10" r:id="rId10"/>
  </sheets>
  <definedNames>
    <definedName name="_xlchart.v5.0" hidden="1">'Objective 8'!$A$2:$A$4</definedName>
    <definedName name="_xlchart.v5.1" hidden="1">'Objective 8'!$B$1</definedName>
    <definedName name="_xlchart.v5.2" hidden="1">'Objective 8'!$B$2:$B$4</definedName>
    <definedName name="Slicer_CurrentQuarter">#N/A</definedName>
  </definedNames>
  <calcPr calcId="191029"/>
  <pivotCaches>
    <pivotCache cacheId="0" r:id="rId11"/>
    <pivotCache cacheId="1" r:id="rId12"/>
    <pivotCache cacheId="2" r:id="rId13"/>
    <pivotCache cacheId="3" r:id="rId14"/>
    <pivotCache cacheId="4" r:id="rId15"/>
    <pivotCache cacheId="5"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9" l="1"/>
  <c r="D5" i="9"/>
  <c r="D3" i="9"/>
  <c r="D2" i="9"/>
</calcChain>
</file>

<file path=xl/sharedStrings.xml><?xml version="1.0" encoding="utf-8"?>
<sst xmlns="http://schemas.openxmlformats.org/spreadsheetml/2006/main" count="216" uniqueCount="79">
  <si>
    <t>CustomerID</t>
  </si>
  <si>
    <t>LastName</t>
  </si>
  <si>
    <t>HighestSalary</t>
  </si>
  <si>
    <t>Rank</t>
  </si>
  <si>
    <t>Oluchukwu</t>
  </si>
  <si>
    <t>Palerma</t>
  </si>
  <si>
    <t>Kharlamova</t>
  </si>
  <si>
    <t>Kazakova</t>
  </si>
  <si>
    <t>Chandler</t>
  </si>
  <si>
    <t>Avg_creditScore_Exited_customers</t>
  </si>
  <si>
    <t>Avg_creditScore_remain_customers</t>
  </si>
  <si>
    <t>Sum of HighestSalary</t>
  </si>
  <si>
    <t>Row Labels</t>
  </si>
  <si>
    <t>Grand Total</t>
  </si>
  <si>
    <t>gender</t>
  </si>
  <si>
    <t>Avg_EstimatedSalary</t>
  </si>
  <si>
    <t>NumberOFActive_accounts</t>
  </si>
  <si>
    <t>Female</t>
  </si>
  <si>
    <t>Male</t>
  </si>
  <si>
    <t>Gender</t>
  </si>
  <si>
    <t xml:space="preserve"> Avg_EstimatedSalary</t>
  </si>
  <si>
    <t xml:space="preserve"> NumberOFActive_accounts</t>
  </si>
  <si>
    <t>CreditCategory</t>
  </si>
  <si>
    <t>Exit_rate</t>
  </si>
  <si>
    <t>Average</t>
  </si>
  <si>
    <t>Poor</t>
  </si>
  <si>
    <t>Excellent</t>
  </si>
  <si>
    <t>Very Good</t>
  </si>
  <si>
    <t>GeographyLocation</t>
  </si>
  <si>
    <t>NumberOF_Active_User</t>
  </si>
  <si>
    <t>France</t>
  </si>
  <si>
    <t>Spain</t>
  </si>
  <si>
    <t>Germany</t>
  </si>
  <si>
    <t>MonthOfJoining</t>
  </si>
  <si>
    <t>YearOfJoining</t>
  </si>
  <si>
    <t>CurrentQuarter</t>
  </si>
  <si>
    <t>NumberOfJoining</t>
  </si>
  <si>
    <t>February</t>
  </si>
  <si>
    <t>January</t>
  </si>
  <si>
    <t>March</t>
  </si>
  <si>
    <t>June</t>
  </si>
  <si>
    <t>May</t>
  </si>
  <si>
    <t>April</t>
  </si>
  <si>
    <t>September</t>
  </si>
  <si>
    <t>July</t>
  </si>
  <si>
    <t>August</t>
  </si>
  <si>
    <t>December</t>
  </si>
  <si>
    <t>October</t>
  </si>
  <si>
    <t>November</t>
  </si>
  <si>
    <t xml:space="preserve">Months </t>
  </si>
  <si>
    <t xml:space="preserve"> NumberOfJoining</t>
  </si>
  <si>
    <t>GenderCategory</t>
  </si>
  <si>
    <t>Average_Salary</t>
  </si>
  <si>
    <t>Sum of Average_Salary</t>
  </si>
  <si>
    <t/>
  </si>
  <si>
    <t>Age_Group</t>
  </si>
  <si>
    <t>Avg_Tenure</t>
  </si>
  <si>
    <t>18-30</t>
  </si>
  <si>
    <t>30-50</t>
  </si>
  <si>
    <t>50+</t>
  </si>
  <si>
    <t xml:space="preserve">Excellent </t>
  </si>
  <si>
    <t xml:space="preserve">Credit Score </t>
  </si>
  <si>
    <t>600-700</t>
  </si>
  <si>
    <t>600&lt;</t>
  </si>
  <si>
    <t>750+</t>
  </si>
  <si>
    <t>700-750</t>
  </si>
  <si>
    <t>Rank / Category</t>
  </si>
  <si>
    <t xml:space="preserve"> Exit_rate</t>
  </si>
  <si>
    <t>geographyLocation</t>
  </si>
  <si>
    <t>Balance_Category</t>
  </si>
  <si>
    <t>Tenure_category</t>
  </si>
  <si>
    <t>CntOFCustomers</t>
  </si>
  <si>
    <t>high balance</t>
  </si>
  <si>
    <t>Long Tenure</t>
  </si>
  <si>
    <t>Moderate Tenure</t>
  </si>
  <si>
    <t>Low Balance</t>
  </si>
  <si>
    <t>Sum of CntOFCustomers</t>
  </si>
  <si>
    <t xml:space="preserve">Tenure / Balance Category </t>
  </si>
  <si>
    <t xml:space="preserve"> CntOFCustomers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</si>
</sst>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indexed="8"/>
      <name val="Aptos Narrow"/>
      <family val="2"/>
    </font>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 fillId="0" borderId="0"/>
  </cellStyleXfs>
  <cellXfs count="9">
    <xf numFmtId="0" fontId="0" fillId="0" borderId="0" xfId="0"/>
    <xf numFmtId="0" fontId="0" fillId="0" borderId="0" xfId="0" applyAlignment="1">
      <alignment horizontal="left"/>
    </xf>
    <xf numFmtId="0" fontId="0" fillId="0" borderId="0" xfId="0" applyAlignment="1">
      <alignment horizontal="center"/>
    </xf>
    <xf numFmtId="0" fontId="0" fillId="0" borderId="0" xfId="0" pivotButton="1"/>
    <xf numFmtId="0" fontId="1" fillId="0" borderId="0" xfId="42"/>
    <xf numFmtId="0" fontId="1" fillId="0" borderId="0" xfId="42" applyAlignment="1">
      <alignment horizontal="right"/>
    </xf>
    <xf numFmtId="0" fontId="1" fillId="0" borderId="0" xfId="42" applyAlignment="1">
      <alignment horizontal="left"/>
    </xf>
    <xf numFmtId="0" fontId="1" fillId="0" borderId="0" xfId="42" applyAlignment="1">
      <alignment horizontal="left" indent="1"/>
    </xf>
    <xf numFmtId="0" fontId="0" fillId="0" borderId="0" xfId="0" applyAlignment="1">
      <alignment horizontal="left"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2" xfId="42" xr:uid="{2283A1D4-5520-4328-A56C-A894DAC7428E}"/>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Top 5</a:t>
            </a:r>
            <a:r>
              <a:rPr lang="en-US" sz="1400" baseline="0"/>
              <a:t> highest estimated salary customer's by q4</a:t>
            </a:r>
            <a:endParaRPr lang="en-US" sz="1400"/>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402887139107611E-2"/>
          <c:y val="0.34398148148148144"/>
          <c:w val="0.90004155730533686"/>
          <c:h val="0.46038568095654703"/>
        </c:manualLayout>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15624641</c:v>
              </c:pt>
              <c:pt idx="1">
                <c:v>15691874</c:v>
              </c:pt>
              <c:pt idx="2">
                <c:v>15699095</c:v>
              </c:pt>
              <c:pt idx="3">
                <c:v>15763065</c:v>
              </c:pt>
              <c:pt idx="4">
                <c:v>15804211</c:v>
              </c:pt>
            </c:strLit>
          </c:cat>
          <c:val>
            <c:numLit>
              <c:formatCode>General</c:formatCode>
              <c:ptCount val="5"/>
              <c:pt idx="0">
                <c:v>199290.68</c:v>
              </c:pt>
              <c:pt idx="1">
                <c:v>198929.84</c:v>
              </c:pt>
              <c:pt idx="2">
                <c:v>198826.03</c:v>
              </c:pt>
              <c:pt idx="3">
                <c:v>199753.97</c:v>
              </c:pt>
              <c:pt idx="4">
                <c:v>199841.32</c:v>
              </c:pt>
            </c:numLit>
          </c:val>
          <c:extLst>
            <c:ext xmlns:c16="http://schemas.microsoft.com/office/drawing/2014/chart" uri="{C3380CC4-5D6E-409C-BE32-E72D297353CC}">
              <c16:uniqueId val="{00000000-4E45-44FE-85FA-E342D8EE779E}"/>
            </c:ext>
          </c:extLst>
        </c:ser>
        <c:dLbls>
          <c:dLblPos val="outEnd"/>
          <c:showLegendKey val="0"/>
          <c:showVal val="1"/>
          <c:showCatName val="0"/>
          <c:showSerName val="0"/>
          <c:showPercent val="0"/>
          <c:showBubbleSize val="0"/>
        </c:dLbls>
        <c:gapWidth val="184"/>
        <c:overlap val="-90"/>
        <c:axId val="1635925712"/>
        <c:axId val="1635928112"/>
      </c:barChart>
      <c:catAx>
        <c:axId val="16359257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Customer_ID</a:t>
                </a:r>
              </a:p>
            </c:rich>
          </c:tx>
          <c:layout>
            <c:manualLayout>
              <c:xMode val="edge"/>
              <c:yMode val="edge"/>
              <c:x val="0.38174059492563434"/>
              <c:y val="0.9121062992125984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35928112"/>
        <c:crosses val="autoZero"/>
        <c:auto val="1"/>
        <c:lblAlgn val="ctr"/>
        <c:lblOffset val="100"/>
        <c:noMultiLvlLbl val="0"/>
      </c:catAx>
      <c:valAx>
        <c:axId val="1635928112"/>
        <c:scaling>
          <c:orientation val="minMax"/>
        </c:scaling>
        <c:delete val="1"/>
        <c:axPos val="l"/>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EStimated_salary</a:t>
                </a:r>
              </a:p>
            </c:rich>
          </c:tx>
          <c:layout>
            <c:manualLayout>
              <c:xMode val="edge"/>
              <c:yMode val="edge"/>
              <c:x val="2.2222222222222223E-2"/>
              <c:y val="0.3145100612423446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3592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r">
              <a:defRPr sz="1200" b="1" i="0" u="none" strike="noStrike" baseline="0">
                <a:solidFill>
                  <a:schemeClr val="tx1">
                    <a:lumMod val="65000"/>
                    <a:lumOff val="35000"/>
                  </a:schemeClr>
                </a:solidFill>
                <a:latin typeface="+mn-lt"/>
                <a:ea typeface="+mn-ea"/>
                <a:cs typeface="+mn-cs"/>
              </a:defRPr>
            </a:pPr>
            <a:r>
              <a:rPr lang="en-US" sz="1200" b="1" i="0" u="none" strike="noStrike" baseline="0">
                <a:solidFill>
                  <a:sysClr val="windowText" lastClr="000000">
                    <a:lumMod val="65000"/>
                    <a:lumOff val="35000"/>
                  </a:sysClr>
                </a:solidFill>
                <a:latin typeface="Aptos Narrow" panose="02110004020202020204"/>
              </a:rPr>
              <a:t>Average Credit Score By Exited and Remain Customers</a:t>
            </a:r>
          </a:p>
        </c:rich>
      </c:tx>
      <c:overlay val="0"/>
      <c:spPr>
        <a:noFill/>
        <a:ln>
          <a:noFill/>
        </a:ln>
        <a:effectLst/>
      </c:spPr>
      <c:txPr>
        <a:bodyPr rot="0" spcFirstLastPara="1" vertOverflow="ellipsis" vert="horz" wrap="square" anchor="ctr" anchorCtr="1"/>
        <a:lstStyle/>
        <a:p>
          <a:pPr algn="r">
            <a:defRPr sz="1200" b="1"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20103878417914"/>
          <c:y val="0.20942800788954635"/>
          <c:w val="0.83314687474020499"/>
          <c:h val="0.53030207022938702"/>
        </c:manualLayout>
      </c:layout>
      <c:barChart>
        <c:barDir val="col"/>
        <c:grouping val="clustered"/>
        <c:varyColors val="0"/>
        <c:ser>
          <c:idx val="0"/>
          <c:order val="0"/>
          <c:tx>
            <c:strRef>
              <c:f>'Objective Q5'!$A$1</c:f>
              <c:strCache>
                <c:ptCount val="1"/>
                <c:pt idx="0">
                  <c:v>Avg_creditScore_Exited_customers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'Objective Q5'!$A$2</c:f>
              <c:numCache>
                <c:formatCode>General</c:formatCode>
                <c:ptCount val="1"/>
                <c:pt idx="0">
                  <c:v>650.53</c:v>
                </c:pt>
              </c:numCache>
            </c:numRef>
          </c:val>
          <c:extLst>
            <c:ext xmlns:c16="http://schemas.microsoft.com/office/drawing/2014/chart" uri="{C3380CC4-5D6E-409C-BE32-E72D297353CC}">
              <c16:uniqueId val="{00000000-FC55-4C60-8CD7-5F327A3FF881}"/>
            </c:ext>
          </c:extLst>
        </c:ser>
        <c:ser>
          <c:idx val="1"/>
          <c:order val="1"/>
          <c:tx>
            <c:strRef>
              <c:f>'Objective Q5'!$B$1</c:f>
              <c:strCache>
                <c:ptCount val="1"/>
                <c:pt idx="0">
                  <c:v>Avg_creditScore_remain_customers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'Objective Q5'!$B$2</c:f>
              <c:numCache>
                <c:formatCode>General</c:formatCode>
                <c:ptCount val="1"/>
                <c:pt idx="0">
                  <c:v>651.85</c:v>
                </c:pt>
              </c:numCache>
            </c:numRef>
          </c:val>
          <c:extLst>
            <c:ext xmlns:c16="http://schemas.microsoft.com/office/drawing/2014/chart" uri="{C3380CC4-5D6E-409C-BE32-E72D297353CC}">
              <c16:uniqueId val="{00000001-FC55-4C60-8CD7-5F327A3FF881}"/>
            </c:ext>
          </c:extLst>
        </c:ser>
        <c:dLbls>
          <c:dLblPos val="outEnd"/>
          <c:showLegendKey val="0"/>
          <c:showVal val="1"/>
          <c:showCatName val="0"/>
          <c:showSerName val="0"/>
          <c:showPercent val="0"/>
          <c:showBubbleSize val="0"/>
        </c:dLbls>
        <c:gapWidth val="60"/>
        <c:overlap val="-20"/>
        <c:axId val="565085920"/>
        <c:axId val="565086400"/>
      </c:barChart>
      <c:catAx>
        <c:axId val="565085920"/>
        <c:scaling>
          <c:orientation val="minMax"/>
        </c:scaling>
        <c:delete val="0"/>
        <c:axPos val="b"/>
        <c:title>
          <c:tx>
            <c:rich>
              <a:bodyPr rot="0" spcFirstLastPara="1" vertOverflow="ellipsis" vert="horz" wrap="square" anchor="ctr" anchorCtr="1"/>
              <a:lstStyle/>
              <a:p>
                <a:pPr>
                  <a:defRPr sz="1000" b="1" i="0" u="none" strike="noStrike" baseline="0">
                    <a:solidFill>
                      <a:schemeClr val="tx1">
                        <a:lumMod val="65000"/>
                        <a:lumOff val="35000"/>
                      </a:schemeClr>
                    </a:solidFill>
                    <a:latin typeface="+mn-lt"/>
                    <a:ea typeface="+mn-ea"/>
                    <a:cs typeface="+mn-cs"/>
                  </a:defRPr>
                </a:pPr>
                <a:r>
                  <a:rPr lang="en-US" sz="1000" b="1"/>
                  <a:t>Customer</a:t>
                </a:r>
                <a:r>
                  <a:rPr lang="en-US" sz="1000" b="1" baseline="0"/>
                  <a:t> Category</a:t>
                </a:r>
                <a:endParaRPr lang="en-US" sz="1000" b="1"/>
              </a:p>
            </c:rich>
          </c:tx>
          <c:overlay val="0"/>
          <c:spPr>
            <a:noFill/>
            <a:ln>
              <a:noFill/>
            </a:ln>
            <a:effectLst/>
          </c:spPr>
          <c:txPr>
            <a:bodyPr rot="0" spcFirstLastPara="1" vertOverflow="ellipsis" vert="horz" wrap="square" anchor="ctr" anchorCtr="1"/>
            <a:lstStyle/>
            <a:p>
              <a:pPr>
                <a:defRPr sz="1000" b="1" i="0" u="none" strike="noStrike"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565086400"/>
        <c:crosses val="autoZero"/>
        <c:auto val="1"/>
        <c:lblAlgn val="ctr"/>
        <c:lblOffset val="100"/>
        <c:noMultiLvlLbl val="0"/>
      </c:catAx>
      <c:valAx>
        <c:axId val="565086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baseline="0">
                    <a:solidFill>
                      <a:schemeClr val="tx1">
                        <a:lumMod val="65000"/>
                        <a:lumOff val="35000"/>
                      </a:schemeClr>
                    </a:solidFill>
                    <a:latin typeface="+mn-lt"/>
                    <a:ea typeface="+mn-ea"/>
                    <a:cs typeface="+mn-cs"/>
                  </a:defRPr>
                </a:pPr>
                <a:r>
                  <a:rPr lang="en-US" sz="1000" b="1"/>
                  <a:t>Avg Credit Score</a:t>
                </a:r>
              </a:p>
            </c:rich>
          </c:tx>
          <c:layout>
            <c:manualLayout>
              <c:xMode val="edge"/>
              <c:yMode val="edge"/>
              <c:x val="9.5022624434389132E-3"/>
              <c:y val="0.31304042615974775"/>
            </c:manualLayout>
          </c:layout>
          <c:overlay val="0"/>
          <c:spPr>
            <a:noFill/>
            <a:ln>
              <a:noFill/>
            </a:ln>
            <a:effectLst/>
          </c:spPr>
          <c:txPr>
            <a:bodyPr rot="-5400000" spcFirstLastPara="1" vertOverflow="ellipsis" vert="horz" wrap="square" anchor="ctr" anchorCtr="1"/>
            <a:lstStyle/>
            <a:p>
              <a:pPr>
                <a:defRPr sz="10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baseline="0">
                <a:solidFill>
                  <a:schemeClr val="tx1">
                    <a:lumMod val="65000"/>
                    <a:lumOff val="35000"/>
                  </a:schemeClr>
                </a:solidFill>
                <a:latin typeface="+mn-lt"/>
                <a:ea typeface="+mn-ea"/>
                <a:cs typeface="+mn-cs"/>
              </a:defRPr>
            </a:pPr>
            <a:endParaRPr lang="en-US"/>
          </a:p>
        </c:txPr>
        <c:crossAx val="565085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[CRM_bank_analysis.xlsx]Objective 6!PivotTable2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Avg_Salary</a:t>
            </a:r>
            <a:r>
              <a:rPr lang="en-US" baseline="0"/>
              <a:t> by Gender</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'Objective 6'!$G$1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 6'!$F$2:$F$3</c:f>
              <c:strCache>
                <c:ptCount val="2"/>
                <c:pt idx="0">
                  <c:v>Female</c:v>
                </c:pt>
                <c:pt idx="1">
                  <c:v>Male</c:v>
                </c:pt>
              </c:strCache>
            </c:strRef>
          </c:cat>
          <c:val>
            <c:numRef>
              <c:f>'Objective 6'!$G$2:$G$3</c:f>
              <c:numCache>
                <c:formatCode>General</c:formatCode>
                <c:ptCount val="2"/>
                <c:pt idx="0">
                  <c:v>100601.54</c:v>
                </c:pt>
                <c:pt idx="1">
                  <c:v>99664.58</c:v>
                </c:pt>
              </c:numCache>
            </c:numRef>
          </c:val>
          <c:extLst>
            <c:ext xmlns:c16="http://schemas.microsoft.com/office/drawing/2014/chart" uri="{C3380CC4-5D6E-409C-BE32-E72D297353CC}">
              <c16:uniqueId val="{00000000-5B38-43C6-AADE-E16A3E459333}"/>
            </c:ext>
          </c:extLst>
        </c:ser>
        <c:dLbls>
          <c:dLblPos val="ctr"/>
          <c:showLegendKey val="0"/>
          <c:showVal val="1"/>
          <c:showCatName val="0"/>
          <c:showSerName val="0"/>
          <c:showPercent val="0"/>
          <c:showBubbleSize val="0"/>
        </c:dLbls>
        <c:gapWidth val="79"/>
        <c:overlap val="100"/>
        <c:axId val="1635638208"/>
        <c:axId val="1635636288"/>
      </c:barChart>
      <c:catAx>
        <c:axId val="1635638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35636288"/>
        <c:crosses val="autoZero"/>
        <c:auto val="1"/>
        <c:lblAlgn val="ctr"/>
        <c:lblOffset val="100"/>
        <c:noMultiLvlLbl val="0"/>
      </c:catAx>
      <c:valAx>
        <c:axId val="1635636288"/>
        <c:scaling>
          <c:orientation val="minMax"/>
        </c:scaling>
        <c:delete val="1"/>
        <c:axPos val="l"/>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Avgerage</a:t>
                </a:r>
                <a:r>
                  <a:rPr lang="en-US" b="1" baseline="0"/>
                  <a:t> Estimated salary</a:t>
                </a:r>
                <a:endParaRPr lang="en-US" b="1"/>
              </a:p>
            </c:rich>
          </c:tx>
          <c:layout>
            <c:manualLayout>
              <c:xMode val="edge"/>
              <c:yMode val="edge"/>
              <c:x val="1.9444444444444445E-2"/>
              <c:y val="0.2223458005249343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3563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[CRM_bank_analysis.xlsx]Objective 6!PivotTable3</c:name>
    <c:fmtId val="11"/>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US" b="1"/>
              <a:t>Active</a:t>
            </a:r>
            <a:r>
              <a:rPr lang="en-US" b="1" baseline="0"/>
              <a:t> Accounts by Gender </a:t>
            </a:r>
            <a:endParaRPr lang="en-US" b="1"/>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'Objective 6'!$J$1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 6'!$I$2:$I$3</c:f>
              <c:strCache>
                <c:ptCount val="2"/>
                <c:pt idx="0">
                  <c:v>Female</c:v>
                </c:pt>
                <c:pt idx="1">
                  <c:v>Male</c:v>
                </c:pt>
              </c:strCache>
            </c:strRef>
          </c:cat>
          <c:val>
            <c:numRef>
              <c:f>'Objective 6'!$J$2:$J$3</c:f>
              <c:numCache>
                <c:formatCode>General</c:formatCode>
                <c:ptCount val="2"/>
                <c:pt idx="0">
                  <c:v>2284</c:v>
                </c:pt>
                <c:pt idx="1">
                  <c:v>2867</c:v>
                </c:pt>
              </c:numCache>
            </c:numRef>
          </c:val>
          <c:extLst>
            <c:ext xmlns:c16="http://schemas.microsoft.com/office/drawing/2014/chart" uri="{C3380CC4-5D6E-409C-BE32-E72D297353CC}">
              <c16:uniqueId val="{00000000-5FF7-4B3A-AEBE-C6BDD2938C50}"/>
            </c:ext>
          </c:extLst>
        </c:ser>
        <c:dLbls>
          <c:dLblPos val="ctr"/>
          <c:showLegendKey val="0"/>
          <c:showVal val="1"/>
          <c:showCatName val="0"/>
          <c:showSerName val="0"/>
          <c:showPercent val="0"/>
          <c:showBubbleSize val="0"/>
        </c:dLbls>
        <c:gapWidth val="150"/>
        <c:overlap val="100"/>
        <c:axId val="1805339408"/>
        <c:axId val="1805340368"/>
      </c:barChart>
      <c:catAx>
        <c:axId val="18053394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r>
                  <a:rPr lang="en-US" b="1"/>
                  <a:t>Gender</a:t>
                </a:r>
                <a:r>
                  <a:rPr lang="en-US" b="1" baseline="0"/>
                  <a:t> </a:t>
                </a:r>
                <a:endParaRPr lang="en-US" b="1"/>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805340368"/>
        <c:crosses val="autoZero"/>
        <c:auto val="1"/>
        <c:lblAlgn val="ctr"/>
        <c:lblOffset val="100"/>
        <c:noMultiLvlLbl val="0"/>
      </c:catAx>
      <c:valAx>
        <c:axId val="180534036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r>
                  <a:rPr lang="en-US" b="1"/>
                  <a:t>Number</a:t>
                </a:r>
                <a:r>
                  <a:rPr lang="en-US" b="1" baseline="0"/>
                  <a:t> Of Active accounts </a:t>
                </a:r>
                <a:endParaRPr lang="en-US" b="1"/>
              </a:p>
            </c:rich>
          </c:tx>
          <c:layout>
            <c:manualLayout>
              <c:xMode val="edge"/>
              <c:yMode val="edge"/>
              <c:x val="1.3888888888888888E-2"/>
              <c:y val="0.1944484543598716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0533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ExitRate</a:t>
            </a:r>
            <a:r>
              <a:rPr lang="en-US" baseline="0"/>
              <a:t> by CreditCategory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'Qbjective 7'!$B$1</c:f>
              <c:strCache>
                <c:ptCount val="1"/>
                <c:pt idx="0">
                  <c:v>Exit_rate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'Qbjective 7'!$A$2:$A$5</c:f>
              <c:strCache>
                <c:ptCount val="4"/>
                <c:pt idx="0">
                  <c:v>Average</c:v>
                </c:pt>
                <c:pt idx="1">
                  <c:v>Poor</c:v>
                </c:pt>
                <c:pt idx="2">
                  <c:v>Excellent</c:v>
                </c:pt>
                <c:pt idx="3">
                  <c:v>Very Good</c:v>
                </c:pt>
              </c:strCache>
            </c:strRef>
          </c:cat>
          <c:val>
            <c:numRef>
              <c:f>'Qbjective 7'!$B$2:$B$5</c:f>
              <c:numCache>
                <c:formatCode>General</c:formatCode>
                <c:ptCount val="4"/>
                <c:pt idx="0">
                  <c:v>7.53</c:v>
                </c:pt>
                <c:pt idx="1">
                  <c:v>6.6</c:v>
                </c:pt>
                <c:pt idx="2">
                  <c:v>3.13</c:v>
                </c:pt>
                <c:pt idx="3">
                  <c:v>3.11</c:v>
                </c:pt>
              </c:numCache>
            </c:numRef>
          </c:val>
          <c:extLst>
            <c:ext xmlns:c16="http://schemas.microsoft.com/office/drawing/2014/chart" uri="{C3380CC4-5D6E-409C-BE32-E72D297353CC}">
              <c16:uniqueId val="{00000000-0A57-414B-8390-A3C57DB3DEE6}"/>
            </c:ext>
          </c:extLst>
        </c:ser>
        <c:dLbls>
          <c:showLegendKey val="0"/>
          <c:showVal val="0"/>
          <c:showCatName val="0"/>
          <c:showSerName val="0"/>
          <c:showPercent val="0"/>
          <c:showBubbleSize val="0"/>
        </c:dLbls>
        <c:gapWidth val="115"/>
        <c:overlap val="-20"/>
        <c:axId val="1115040432"/>
        <c:axId val="1115038992"/>
      </c:barChart>
      <c:catAx>
        <c:axId val="111504043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Credit</a:t>
                </a:r>
                <a:r>
                  <a:rPr lang="en-US" baseline="0"/>
                  <a:t> Category</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15038992"/>
        <c:crosses val="autoZero"/>
        <c:auto val="1"/>
        <c:lblAlgn val="ctr"/>
        <c:lblOffset val="100"/>
        <c:noMultiLvlLbl val="0"/>
      </c:catAx>
      <c:valAx>
        <c:axId val="11150389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Exit</a:t>
                </a:r>
                <a:r>
                  <a:rPr lang="en-US" baseline="0"/>
                  <a:t> Rate</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1504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[CRM_bank_analysis.xlsx]Objective 11!PivotTable1</c:name>
    <c:fmtId val="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Month-wise Customer Onboarding Trend</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555262398483"/>
          <c:y val="0.13273164861612516"/>
          <c:w val="0.85764796416154787"/>
          <c:h val="0.59024733821629694"/>
        </c:manualLayout>
      </c:layout>
      <c:lineChart>
        <c:grouping val="standard"/>
        <c:varyColors val="0"/>
        <c:ser>
          <c:idx val="0"/>
          <c:order val="0"/>
          <c:tx>
            <c:strRef>
              <c:f>'Objective 11'!$G$1</c:f>
              <c:strCache>
                <c:ptCount val="1"/>
                <c:pt idx="0">
                  <c:v>Total</c:v>
                </c:pt>
              </c:strCache>
            </c:strRef>
          </c:tx>
          <c:spPr>
            <a:ln w="34925" cap="rnd">
              <a:solidFill>
                <a:schemeClr val="accent1"/>
              </a:solidFill>
              <a:round/>
            </a:ln>
            <a:effectLst/>
          </c:spPr>
          <c:marker>
            <c:symbol val="circle"/>
            <c:size val="5"/>
            <c:spPr>
              <a:solidFill>
                <a:schemeClr val="accent1"/>
              </a:solidFill>
              <a:ln w="9525">
                <a:solidFill>
                  <a:schemeClr val="accent1"/>
                </a:solidFill>
              </a:ln>
              <a:effectLst/>
            </c:spPr>
          </c:marker>
          <c:dLbls>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11'!$F$2:$F$13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'Objective 11'!$G$2:$G$13</c:f>
              <c:numCache>
                <c:formatCode>General</c:formatCode>
                <c:ptCount val="12"/>
                <c:pt idx="0">
                  <c:v>482</c:v>
                </c:pt>
                <c:pt idx="1">
                  <c:v>324</c:v>
                </c:pt>
                <c:pt idx="2">
                  <c:v>654</c:v>
                </c:pt>
                <c:pt idx="3">
                  <c:v>653</c:v>
                </c:pt>
                <c:pt idx="4">
                  <c:v>694</c:v>
                </c:pt>
                <c:pt idx="5">
                  <c:v>765</c:v>
                </c:pt>
                <c:pt idx="6">
                  <c:v>721</c:v>
                </c:pt>
                <c:pt idx="7">
                  <c:v>674</c:v>
                </c:pt>
                <c:pt idx="8">
                  <c:v>1356</c:v>
                </c:pt>
                <c:pt idx="9">
                  <c:v>831</c:v>
                </c:pt>
                <c:pt idx="10">
                  <c:v>1437</c:v>
                </c:pt>
                <c:pt idx="11">
                  <c:v>1409</c:v>
                </c:pt>
              </c:numCache>
            </c:numRef>
          </c:val>
          <c:smooth val="0"/>
          <c:extLst>
            <c:ext xmlns:c16="http://schemas.microsoft.com/office/drawing/2014/chart" uri="{C3380CC4-5D6E-409C-BE32-E72D297353CC}">
              <c16:uniqueId val="{00000000-CA11-4A88-AE1E-0AF35FAC9D27}"/>
            </c:ext>
          </c:extLst>
        </c:ser>
        <c:dLbls>
          <c:showLegendKey val="0"/>
          <c:showVal val="1"/>
          <c:showCatName val="0"/>
          <c:showSerName val="0"/>
          <c:showPercent val="0"/>
          <c:showBubbleSize val="0"/>
        </c:dLbls>
        <c:marker val="1"/>
        <c:smooth val="0"/>
        <c:axId val="984303119"/>
        <c:axId val="984303599"/>
      </c:lineChart>
      <c:catAx>
        <c:axId val="984303119"/>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Months</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84303599"/>
        <c:crosses val="autoZero"/>
        <c:auto val="1"/>
        <c:lblAlgn val="ctr"/>
        <c:lblOffset val="100"/>
        <c:noMultiLvlLbl val="0"/>
      </c:catAx>
      <c:valAx>
        <c:axId val="984303599"/>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Number</a:t>
                </a:r>
                <a:r>
                  <a:rPr lang="en-US" sz="1050" b="1" baseline="0"/>
                  <a:t> of Joinings </a:t>
                </a:r>
                <a:endParaRPr lang="en-US" sz="1050" b="1"/>
              </a:p>
            </c:rich>
          </c:tx>
          <c:layout>
            <c:manualLayout>
              <c:xMode val="edge"/>
              <c:yMode val="edge"/>
              <c:x val="1.7452006980802792E-2"/>
              <c:y val="0.26400630426611837"/>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8430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[CRM_bank_analysis.xlsx]Objective 11!PivotTable2</c:name>
    <c:fmtId val="1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Year -wise Customer Onboarding Trend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014195100612422"/>
          <c:y val="0.13407115777194517"/>
          <c:w val="0.4782534995625547"/>
          <c:h val="0.79708916593759116"/>
        </c:manualLayout>
      </c:layout>
      <c:doughnutChart>
        <c:varyColors val="1"/>
        <c:ser>
          <c:idx val="0"/>
          <c:order val="0"/>
          <c:tx>
            <c:strRef>
              <c:f>'Objective 11'!$L$1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7B-467F-A066-889F5629263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57B-467F-A066-889F5629263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57B-467F-A066-889F5629263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57B-467F-A066-889F5629263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'Objective 11'!$K$2:$K$5</c:f>
              <c:strCache>
                <c:ptCount val="4"/>
                <c:pt idx="0">
                  <c:v>2016</c:v>
                </c:pt>
                <c:pt idx="1">
                  <c:v>2017</c:v>
                </c:pt>
                <c:pt idx="2">
                  <c:v>2018</c:v>
                </c:pt>
                <c:pt idx="3">
                  <c:v>2019</c:v>
                </c:pt>
              </c:strCache>
            </c:strRef>
          </c:cat>
          <c:val>
            <c:numRef>
              <c:f>'Objective 11'!$L$2:$L$5</c:f>
              <c:numCache>
                <c:formatCode>General</c:formatCode>
                <c:ptCount val="4"/>
                <c:pt idx="0">
                  <c:v>1951</c:v>
                </c:pt>
                <c:pt idx="1">
                  <c:v>2143</c:v>
                </c:pt>
                <c:pt idx="2">
                  <c:v>2593</c:v>
                </c:pt>
                <c:pt idx="3">
                  <c:v>3313</c:v>
                </c:pt>
              </c:numCache>
            </c:numRef>
          </c:val>
          <c:extLst>
            <c:ext xmlns:c16="http://schemas.microsoft.com/office/drawing/2014/chart" uri="{C3380CC4-5D6E-409C-BE32-E72D297353CC}">
              <c16:uniqueId val="{00000000-18BD-4B1E-B038-F13B7C218B4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r"/>
      <c:layout>
        <c:manualLayout>
          <c:xMode val="edge"/>
          <c:yMode val="edge"/>
          <c:x val="0.85798184601924765"/>
          <c:y val="0.18754308222550467"/>
          <c:w val="0.12535148731408574"/>
          <c:h val="0.371740386218340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[CRM_bank_analysis.xlsx]Objective 15!PivotTable3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Average Salary Rank Distribution by Gender and Location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tx2">
                <a:lumMod val="25000"/>
                <a:lumOff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tx2">
                <a:lumMod val="25000"/>
                <a:lumOff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15'!$H$4:$H$5</c:f>
              <c:strCache>
                <c:ptCount val="1"/>
                <c:pt idx="0">
                  <c:v>Female</c:v>
                </c:pt>
              </c:strCache>
            </c:strRef>
          </c:tx>
          <c:spPr>
            <a:solidFill>
              <a:schemeClr val="accent1"/>
            </a:solidFill>
            <a:ln>
              <a:noFill/>
            </a:ln>
            <a:effectLst/>
          </c:spPr>
          <c:invertIfNegative val="0"/>
          <c:dLbls>
            <c:spPr>
              <a:solidFill>
                <a:schemeClr val="tx2">
                  <a:lumMod val="25000"/>
                  <a:lumOff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'Objective 15'!$G$6:$G$14</c:f>
              <c:multiLvlStrCache>
                <c:ptCount val="6"/>
                <c:lvl>
                  <c:pt idx="0">
                    <c:v>France</c:v>
                  </c:pt>
                  <c:pt idx="1">
                    <c:v>Germany</c:v>
                  </c:pt>
                  <c:pt idx="2">
                    <c:v>Germany</c:v>
                  </c:pt>
                  <c:pt idx="3">
                    <c:v>Spain</c:v>
                  </c:pt>
                  <c:pt idx="4">
                    <c:v>France</c:v>
                  </c:pt>
                  <c:pt idx="5">
                    <c:v>Spain</c:v>
                  </c:pt>
                </c:lvl>
                <c:lvl>
                  <c:pt idx="0">
                    <c:v>1</c:v>
                  </c:pt>
                  <c:pt idx="2">
                    <c:v>2</c:v>
                  </c:pt>
                  <c:pt idx="4">
                    <c:v>3</c:v>
                  </c:pt>
                </c:lvl>
              </c:multiLvlStrCache>
            </c:multiLvlStrRef>
          </c:cat>
          <c:val>
            <c:numRef>
              <c:f>'Objective 15'!$H$6:$H$14</c:f>
              <c:numCache>
                <c:formatCode>General</c:formatCode>
                <c:ptCount val="6"/>
                <c:pt idx="1">
                  <c:v>102446.42</c:v>
                </c:pt>
                <c:pt idx="3">
                  <c:v>100734.11</c:v>
                </c:pt>
                <c:pt idx="4">
                  <c:v>99564.25</c:v>
                </c:pt>
              </c:numCache>
            </c:numRef>
          </c:val>
          <c:extLst>
            <c:ext xmlns:c16="http://schemas.microsoft.com/office/drawing/2014/chart" uri="{C3380CC4-5D6E-409C-BE32-E72D297353CC}">
              <c16:uniqueId val="{00000000-1DE9-44AC-8304-0A85A3E0A19E}"/>
            </c:ext>
          </c:extLst>
        </c:ser>
        <c:ser>
          <c:idx val="1"/>
          <c:order val="1"/>
          <c:tx>
            <c:strRef>
              <c:f>'Objective 15'!$I$4:$I$5</c:f>
              <c:strCache>
                <c:ptCount val="1"/>
                <c:pt idx="0">
                  <c:v>Male</c:v>
                </c:pt>
              </c:strCache>
            </c:strRef>
          </c:tx>
          <c:spPr>
            <a:solidFill>
              <a:schemeClr val="accent2"/>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'Objective 15'!$G$6:$G$14</c:f>
              <c:multiLvlStrCache>
                <c:ptCount val="6"/>
                <c:lvl>
                  <c:pt idx="0">
                    <c:v>France</c:v>
                  </c:pt>
                  <c:pt idx="1">
                    <c:v>Germany</c:v>
                  </c:pt>
                  <c:pt idx="2">
                    <c:v>Germany</c:v>
                  </c:pt>
                  <c:pt idx="3">
                    <c:v>Spain</c:v>
                  </c:pt>
                  <c:pt idx="4">
                    <c:v>France</c:v>
                  </c:pt>
                  <c:pt idx="5">
                    <c:v>Spain</c:v>
                  </c:pt>
                </c:lvl>
                <c:lvl>
                  <c:pt idx="0">
                    <c:v>1</c:v>
                  </c:pt>
                  <c:pt idx="2">
                    <c:v>2</c:v>
                  </c:pt>
                  <c:pt idx="4">
                    <c:v>3</c:v>
                  </c:pt>
                </c:lvl>
              </c:multiLvlStrCache>
            </c:multiLvlStrRef>
          </c:cat>
          <c:val>
            <c:numRef>
              <c:f>'Objective 15'!$I$6:$I$14</c:f>
              <c:numCache>
                <c:formatCode>General</c:formatCode>
                <c:ptCount val="6"/>
                <c:pt idx="0">
                  <c:v>100174.25</c:v>
                </c:pt>
                <c:pt idx="2">
                  <c:v>99905.03</c:v>
                </c:pt>
                <c:pt idx="5">
                  <c:v>98425.69</c:v>
                </c:pt>
              </c:numCache>
            </c:numRef>
          </c:val>
          <c:extLst>
            <c:ext xmlns:c16="http://schemas.microsoft.com/office/drawing/2014/chart" uri="{C3380CC4-5D6E-409C-BE32-E72D297353CC}">
              <c16:uniqueId val="{00000001-1DE9-44AC-8304-0A85A3E0A19E}"/>
            </c:ext>
          </c:extLst>
        </c:ser>
        <c:dLbls>
          <c:dLblPos val="outEnd"/>
          <c:showLegendKey val="0"/>
          <c:showVal val="1"/>
          <c:showCatName val="0"/>
          <c:showSerName val="0"/>
          <c:showPercent val="0"/>
          <c:showBubbleSize val="0"/>
        </c:dLbls>
        <c:gapWidth val="259"/>
        <c:overlap val="-27"/>
        <c:axId val="1204471519"/>
        <c:axId val="1204477759"/>
      </c:barChart>
      <c:catAx>
        <c:axId val="1204471519"/>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Salary</a:t>
                </a:r>
                <a:r>
                  <a:rPr lang="en-US" sz="1050" b="1" baseline="0"/>
                  <a:t> Ranks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4477759"/>
        <c:crosses val="autoZero"/>
        <c:auto val="1"/>
        <c:lblAlgn val="ctr"/>
        <c:lblOffset val="100"/>
        <c:noMultiLvlLbl val="0"/>
      </c:catAx>
      <c:valAx>
        <c:axId val="120447775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a:t>
                </a:r>
                <a:r>
                  <a:rPr lang="en-US" b="1" baseline="0"/>
                  <a:t> Salary</a:t>
                </a:r>
                <a:endParaRPr lang="en-US" b="1"/>
              </a:p>
            </c:rich>
          </c:tx>
          <c:layout>
            <c:manualLayout>
              <c:xMode val="edge"/>
              <c:yMode val="edge"/>
              <c:x val="1.6181229773462782E-2"/>
              <c:y val="0.28883894721493147"/>
            </c:manualLayout>
          </c:layout>
          <c:overlay val="0"/>
          <c:spPr>
            <a:solidFill>
              <a:sysClr val="window" lastClr="FFFFFF"/>
            </a:solid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447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 Tenure by Age Group</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402887139107611E-2"/>
          <c:y val="0.28951407115777195"/>
          <c:w val="0.90004155730533686"/>
          <c:h val="0.51948272090988623"/>
        </c:manualLayout>
      </c:layout>
      <c:barChart>
        <c:barDir val="col"/>
        <c:grouping val="clustered"/>
        <c:varyColors val="0"/>
        <c:ser>
          <c:idx val="0"/>
          <c:order val="0"/>
          <c:tx>
            <c:strRef>
              <c:f>'Objective 16'!$B$1</c:f>
              <c:strCache>
                <c:ptCount val="1"/>
                <c:pt idx="0">
                  <c:v>Avg_Tenure</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 16'!$A$2:$A$4</c:f>
              <c:strCache>
                <c:ptCount val="3"/>
                <c:pt idx="0">
                  <c:v>18-30</c:v>
                </c:pt>
                <c:pt idx="1">
                  <c:v>30-50</c:v>
                </c:pt>
                <c:pt idx="2">
                  <c:v>50+</c:v>
                </c:pt>
              </c:strCache>
            </c:strRef>
          </c:cat>
          <c:val>
            <c:numRef>
              <c:f>'Objective 16'!$B$2:$B$4</c:f>
              <c:numCache>
                <c:formatCode>General</c:formatCode>
                <c:ptCount val="3"/>
                <c:pt idx="0">
                  <c:v>4.78</c:v>
                </c:pt>
                <c:pt idx="1">
                  <c:v>4.8899999999999997</c:v>
                </c:pt>
                <c:pt idx="2">
                  <c:v>4.83</c:v>
                </c:pt>
              </c:numCache>
            </c:numRef>
          </c:val>
          <c:extLst>
            <c:ext xmlns:c16="http://schemas.microsoft.com/office/drawing/2014/chart" uri="{C3380CC4-5D6E-409C-BE32-E72D297353CC}">
              <c16:uniqueId val="{00000000-E913-4C1E-A4E1-2F123C2C64F4}"/>
            </c:ext>
          </c:extLst>
        </c:ser>
        <c:dLbls>
          <c:dLblPos val="outEnd"/>
          <c:showLegendKey val="0"/>
          <c:showVal val="1"/>
          <c:showCatName val="0"/>
          <c:showSerName val="0"/>
          <c:showPercent val="0"/>
          <c:showBubbleSize val="0"/>
        </c:dLbls>
        <c:gapWidth val="174"/>
        <c:overlap val="-90"/>
        <c:axId val="984332879"/>
        <c:axId val="984336239"/>
      </c:barChart>
      <c:catAx>
        <c:axId val="9843328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Age Group</a:t>
                </a:r>
              </a:p>
            </c:rich>
          </c:tx>
          <c:layout>
            <c:manualLayout>
              <c:xMode val="edge"/>
              <c:yMode val="edge"/>
              <c:x val="0.44055905511811028"/>
              <c:y val="0.9082407407407407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lumMod val="65000"/>
                    <a:lumOff val="35000"/>
                  </a:schemeClr>
                </a:solidFill>
                <a:latin typeface="+mn-lt"/>
                <a:ea typeface="+mn-ea"/>
                <a:cs typeface="+mn-cs"/>
              </a:defRPr>
            </a:pPr>
            <a:endParaRPr lang="en-US"/>
          </a:p>
        </c:txPr>
        <c:crossAx val="984336239"/>
        <c:crosses val="autoZero"/>
        <c:auto val="1"/>
        <c:lblAlgn val="ctr"/>
        <c:lblOffset val="100"/>
        <c:noMultiLvlLbl val="0"/>
      </c:catAx>
      <c:valAx>
        <c:axId val="984336239"/>
        <c:scaling>
          <c:orientation val="minMax"/>
        </c:scaling>
        <c:delete val="1"/>
        <c:axPos val="l"/>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Average Tenure</a:t>
                </a:r>
              </a:p>
            </c:rich>
          </c:tx>
          <c:layout>
            <c:manualLayout>
              <c:xMode val="edge"/>
              <c:yMode val="edge"/>
              <c:x val="1.1111111111111112E-2"/>
              <c:y val="0.3273129921259842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984332879"/>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[CRM_bank_analysis.xlsx]Objective 19!PivotTable2</c:name>
    <c:fmtId val="0"/>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Number of churned customers by credit category</a:t>
            </a:r>
            <a:endParaRPr lang="en-US" sz="1400" b="1"/>
          </a:p>
        </c:rich>
      </c:tx>
      <c:layout>
        <c:manualLayout>
          <c:xMode val="edge"/>
          <c:yMode val="edge"/>
          <c:x val="0.13263888888888889"/>
          <c:y val="2.7777777777777776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41426071741033"/>
          <c:y val="0.28379629629629627"/>
          <c:w val="0.8550301837270341"/>
          <c:h val="0.48677529892096821"/>
        </c:manualLayout>
      </c:layout>
      <c:barChart>
        <c:barDir val="col"/>
        <c:grouping val="clustered"/>
        <c:varyColors val="0"/>
        <c:ser>
          <c:idx val="0"/>
          <c:order val="0"/>
          <c:tx>
            <c:strRef>
              <c:f>'Objective 19'!$G$1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'Objective 19'!$F$2:$F$9</c:f>
              <c:multiLvlStrCache>
                <c:ptCount val="4"/>
                <c:lvl>
                  <c:pt idx="0">
                    <c:v>Average</c:v>
                  </c:pt>
                  <c:pt idx="1">
                    <c:v>Poor</c:v>
                  </c:pt>
                  <c:pt idx="2">
                    <c:v>Excellent </c:v>
                  </c:pt>
                  <c:pt idx="3">
                    <c:v>Very Good</c:v>
                  </c:pt>
                </c:lvl>
                <c:lvl>
                  <c:pt idx="0">
                    <c:v>1</c:v>
                  </c:pt>
                  <c:pt idx="1">
                    <c:v>2</c:v>
                  </c:pt>
                  <c:pt idx="2">
                    <c:v>3</c:v>
                  </c:pt>
                  <c:pt idx="3">
                    <c:v>4</c:v>
                  </c:pt>
                </c:lvl>
              </c:multiLvlStrCache>
            </c:multiLvlStrRef>
          </c:cat>
          <c:val>
            <c:numRef>
              <c:f>'Objective 19'!$G$2:$G$9</c:f>
              <c:numCache>
                <c:formatCode>General</c:formatCode>
                <c:ptCount val="4"/>
                <c:pt idx="0">
                  <c:v>7.53</c:v>
                </c:pt>
                <c:pt idx="1">
                  <c:v>6.6</c:v>
                </c:pt>
                <c:pt idx="2">
                  <c:v>3.13</c:v>
                </c:pt>
                <c:pt idx="3">
                  <c:v>3.11</c:v>
                </c:pt>
              </c:numCache>
            </c:numRef>
          </c:val>
          <c:extLst>
            <c:ext xmlns:c16="http://schemas.microsoft.com/office/drawing/2014/chart" uri="{C3380CC4-5D6E-409C-BE32-E72D297353CC}">
              <c16:uniqueId val="{00000000-0A20-4A93-A4FF-0325A2625C6A}"/>
            </c:ext>
          </c:extLst>
        </c:ser>
        <c:dLbls>
          <c:dLblPos val="outEnd"/>
          <c:showLegendKey val="0"/>
          <c:showVal val="1"/>
          <c:showCatName val="0"/>
          <c:showSerName val="0"/>
          <c:showPercent val="0"/>
          <c:showBubbleSize val="0"/>
        </c:dLbls>
        <c:gapWidth val="219"/>
        <c:overlap val="-27"/>
        <c:axId val="2017591088"/>
        <c:axId val="2017576208"/>
      </c:barChart>
      <c:catAx>
        <c:axId val="2017591088"/>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Ranks</a:t>
                </a:r>
                <a:r>
                  <a:rPr lang="en-US" sz="1050" b="1" baseline="0"/>
                  <a:t>  &amp; Credit Category</a:t>
                </a:r>
                <a:endParaRPr lang="en-US" sz="1050" b="1"/>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7576208"/>
        <c:crosses val="autoZero"/>
        <c:auto val="1"/>
        <c:lblAlgn val="ctr"/>
        <c:lblOffset val="100"/>
        <c:noMultiLvlLbl val="0"/>
      </c:catAx>
      <c:valAx>
        <c:axId val="2017576208"/>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Exit</a:t>
                </a:r>
                <a:r>
                  <a:rPr lang="en-US" sz="1050" b="1" baseline="0"/>
                  <a:t> Rate</a:t>
                </a:r>
                <a:endParaRPr lang="en-US" sz="1050" b="1"/>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759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[CRM_bank_analysis.xlsx]Subjective Q9!PivotTable1</c:name>
    <c:fmtId val="0"/>
  </c:pivotSource>
  <c:chart>
    <c:title>
      <c:tx>
        <c:rich>
          <a:bodyPr rot="0" spcFirstLastPara="1" vertOverflow="ellipsis" vert="horz" wrap="square" anchor="ctr" anchorCtr="1"/>
          <a:lstStyle/>
          <a:p>
            <a:pPr>
              <a:defRPr sz="1050" b="1" i="0" u="none" strike="noStrike" kern="1200" cap="all" spc="120" normalizeH="0" baseline="0">
                <a:solidFill>
                  <a:schemeClr val="tx1">
                    <a:lumMod val="65000"/>
                    <a:lumOff val="35000"/>
                  </a:schemeClr>
                </a:solidFill>
                <a:latin typeface="+mn-lt"/>
                <a:ea typeface="+mn-ea"/>
                <a:cs typeface="+mn-cs"/>
              </a:defRPr>
            </a:pPr>
            <a:r>
              <a:rPr lang="en-US" sz="1050"/>
              <a:t>Customer</a:t>
            </a:r>
            <a:r>
              <a:rPr lang="en-US" sz="1050" baseline="0"/>
              <a:t> Count by tenure and geography location</a:t>
            </a:r>
            <a:endParaRPr lang="en-US" sz="1050"/>
          </a:p>
        </c:rich>
      </c:tx>
      <c:overlay val="0"/>
      <c:spPr>
        <a:noFill/>
        <a:ln>
          <a:noFill/>
        </a:ln>
        <a:effectLst/>
      </c:spPr>
      <c:txPr>
        <a:bodyPr rot="0" spcFirstLastPara="1" vertOverflow="ellipsis" vert="horz" wrap="square" anchor="ctr" anchorCtr="1"/>
        <a:lstStyle/>
        <a:p>
          <a:pPr>
            <a:defRPr sz="105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402887139107611E-2"/>
          <c:y val="0.27148148148148149"/>
          <c:w val="0.90004155730533686"/>
          <c:h val="0.46912802566345874"/>
        </c:manualLayout>
      </c:layout>
      <c:barChart>
        <c:barDir val="col"/>
        <c:grouping val="clustered"/>
        <c:varyColors val="0"/>
        <c:ser>
          <c:idx val="0"/>
          <c:order val="0"/>
          <c:tx>
            <c:strRef>
              <c:f>'Subjective Q9'!$H$1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'Subjective Q9'!$G$2:$G$9</c:f>
              <c:multiLvlStrCache>
                <c:ptCount val="6"/>
                <c:lvl>
                  <c:pt idx="0">
                    <c:v>France</c:v>
                  </c:pt>
                  <c:pt idx="1">
                    <c:v>Germany</c:v>
                  </c:pt>
                  <c:pt idx="2">
                    <c:v>Spain</c:v>
                  </c:pt>
                  <c:pt idx="3">
                    <c:v>France</c:v>
                  </c:pt>
                  <c:pt idx="4">
                    <c:v>Germany</c:v>
                  </c:pt>
                  <c:pt idx="5">
                    <c:v>Spain</c:v>
                  </c:pt>
                </c:lvl>
                <c:lvl>
                  <c:pt idx="0">
                    <c:v>Long Tenure</c:v>
                  </c:pt>
                  <c:pt idx="3">
                    <c:v>Moderate Tenure</c:v>
                  </c:pt>
                </c:lvl>
              </c:multiLvlStrCache>
            </c:multiLvlStrRef>
          </c:cat>
          <c:val>
            <c:numRef>
              <c:f>'Subjective Q9'!$H$2:$H$9</c:f>
              <c:numCache>
                <c:formatCode>General</c:formatCode>
                <c:ptCount val="6"/>
                <c:pt idx="0">
                  <c:v>1575</c:v>
                </c:pt>
                <c:pt idx="1">
                  <c:v>800</c:v>
                </c:pt>
                <c:pt idx="2">
                  <c:v>796</c:v>
                </c:pt>
                <c:pt idx="3">
                  <c:v>3439</c:v>
                </c:pt>
                <c:pt idx="4">
                  <c:v>1709</c:v>
                </c:pt>
                <c:pt idx="5">
                  <c:v>1681</c:v>
                </c:pt>
              </c:numCache>
            </c:numRef>
          </c:val>
          <c:extLst>
            <c:ext xmlns:c16="http://schemas.microsoft.com/office/drawing/2014/chart" uri="{C3380CC4-5D6E-409C-BE32-E72D297353CC}">
              <c16:uniqueId val="{00000000-F4D1-4A71-978C-AB0517DF2355}"/>
            </c:ext>
          </c:extLst>
        </c:ser>
        <c:dLbls>
          <c:dLblPos val="outEnd"/>
          <c:showLegendKey val="0"/>
          <c:showVal val="1"/>
          <c:showCatName val="0"/>
          <c:showSerName val="0"/>
          <c:showPercent val="0"/>
          <c:showBubbleSize val="0"/>
        </c:dLbls>
        <c:gapWidth val="214"/>
        <c:overlap val="-90"/>
        <c:axId val="1292211600"/>
        <c:axId val="1292227920"/>
      </c:barChart>
      <c:catAx>
        <c:axId val="1292211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Grography</a:t>
                </a:r>
                <a:r>
                  <a:rPr lang="en-US" b="1" baseline="0"/>
                  <a:t> Location &amp; Tenure </a:t>
                </a:r>
                <a:endParaRPr lang="en-US" b="1"/>
              </a:p>
            </c:rich>
          </c:tx>
          <c:layout>
            <c:manualLayout>
              <c:xMode val="edge"/>
              <c:yMode val="edge"/>
              <c:x val="0.33145144356955381"/>
              <c:y val="0.9121062992125984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292227920"/>
        <c:crosses val="autoZero"/>
        <c:auto val="1"/>
        <c:lblAlgn val="ctr"/>
        <c:lblOffset val="100"/>
        <c:noMultiLvlLbl val="0"/>
      </c:catAx>
      <c:valAx>
        <c:axId val="1292227920"/>
        <c:scaling>
          <c:orientation val="minMax"/>
        </c:scaling>
        <c:delete val="1"/>
        <c:axPos val="l"/>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Number</a:t>
                </a:r>
                <a:r>
                  <a:rPr lang="en-US" b="1" baseline="0"/>
                  <a:t> of customers </a:t>
                </a:r>
                <a:endParaRPr lang="en-US" b="1"/>
              </a:p>
            </c:rich>
          </c:tx>
          <c:layout>
            <c:manualLayout>
              <c:xMode val="edge"/>
              <c:yMode val="edge"/>
              <c:x val="1.9444444444444445E-2"/>
              <c:y val="0.2635338291046952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29221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[CRM_bank_analysis.xlsx]Subjective Q9!PivotTable2</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120" normalizeH="0" baseline="0">
                <a:solidFill>
                  <a:sysClr val="windowText" lastClr="000000">
                    <a:lumMod val="65000"/>
                    <a:lumOff val="35000"/>
                  </a:sysClr>
                </a:solidFill>
                <a:latin typeface="+mn-lt"/>
                <a:ea typeface="+mn-ea"/>
                <a:cs typeface="+mn-cs"/>
              </a:defRPr>
            </a:pPr>
            <a:r>
              <a:rPr lang="en-US" sz="1200" b="1" i="0" u="none" strike="noStrike" kern="1200" cap="all" spc="120" normalizeH="0" baseline="0">
                <a:solidFill>
                  <a:sysClr val="windowText" lastClr="000000">
                    <a:lumMod val="65000"/>
                    <a:lumOff val="35000"/>
                  </a:sysClr>
                </a:solidFill>
              </a:rPr>
              <a:t>Customer Count by Balance and geography location</a:t>
            </a:r>
          </a:p>
          <a:p>
            <a:pPr marL="0" marR="0" lvl="0" indent="0" algn="ctr" defTabSz="914400" rtl="0" eaLnBrk="1" fontAlgn="auto" latinLnBrk="0" hangingPunct="1">
              <a:lnSpc>
                <a:spcPct val="100000"/>
              </a:lnSpc>
              <a:spcBef>
                <a:spcPts val="0"/>
              </a:spcBef>
              <a:spcAft>
                <a:spcPts val="0"/>
              </a:spcAft>
              <a:buClrTx/>
              <a:buSzTx/>
              <a:buFontTx/>
              <a:buNone/>
              <a:tabLst/>
              <a:defRPr sz="1200">
                <a:solidFill>
                  <a:sysClr val="windowText" lastClr="000000">
                    <a:lumMod val="65000"/>
                    <a:lumOff val="35000"/>
                  </a:sysClr>
                </a:solidFill>
              </a:defRPr>
            </a:pPr>
            <a:endParaRPr lang="en-US" sz="12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732605290823662E-2"/>
          <c:y val="0.30995370370370373"/>
          <c:w val="0.91829010133951239"/>
          <c:h val="0.4306558034412365"/>
        </c:manualLayout>
      </c:layout>
      <c:barChart>
        <c:barDir val="col"/>
        <c:grouping val="clustered"/>
        <c:varyColors val="0"/>
        <c:ser>
          <c:idx val="0"/>
          <c:order val="0"/>
          <c:tx>
            <c:strRef>
              <c:f>'Subjective Q9'!$K$1</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'Subjective Q9'!$J$2:$J$9</c:f>
              <c:multiLvlStrCache>
                <c:ptCount val="6"/>
                <c:lvl>
                  <c:pt idx="0">
                    <c:v>France</c:v>
                  </c:pt>
                  <c:pt idx="1">
                    <c:v>Germany</c:v>
                  </c:pt>
                  <c:pt idx="2">
                    <c:v>Spain</c:v>
                  </c:pt>
                  <c:pt idx="3">
                    <c:v>France</c:v>
                  </c:pt>
                  <c:pt idx="4">
                    <c:v>Germany</c:v>
                  </c:pt>
                  <c:pt idx="5">
                    <c:v>Spain</c:v>
                  </c:pt>
                </c:lvl>
                <c:lvl>
                  <c:pt idx="0">
                    <c:v>high balance</c:v>
                  </c:pt>
                  <c:pt idx="3">
                    <c:v>Low Balance</c:v>
                  </c:pt>
                </c:lvl>
              </c:multiLvlStrCache>
            </c:multiLvlStrRef>
          </c:cat>
          <c:val>
            <c:numRef>
              <c:f>'Subjective Q9'!$K$2:$K$9</c:f>
              <c:numCache>
                <c:formatCode>General</c:formatCode>
                <c:ptCount val="6"/>
                <c:pt idx="0">
                  <c:v>432</c:v>
                </c:pt>
                <c:pt idx="1">
                  <c:v>314</c:v>
                </c:pt>
                <c:pt idx="2">
                  <c:v>223</c:v>
                </c:pt>
                <c:pt idx="3">
                  <c:v>4582</c:v>
                </c:pt>
                <c:pt idx="4">
                  <c:v>2195</c:v>
                </c:pt>
                <c:pt idx="5">
                  <c:v>2254</c:v>
                </c:pt>
              </c:numCache>
            </c:numRef>
          </c:val>
          <c:extLst>
            <c:ext xmlns:c16="http://schemas.microsoft.com/office/drawing/2014/chart" uri="{C3380CC4-5D6E-409C-BE32-E72D297353CC}">
              <c16:uniqueId val="{00000000-74CB-4B57-9563-F92987948923}"/>
            </c:ext>
          </c:extLst>
        </c:ser>
        <c:dLbls>
          <c:dLblPos val="outEnd"/>
          <c:showLegendKey val="0"/>
          <c:showVal val="1"/>
          <c:showCatName val="0"/>
          <c:showSerName val="0"/>
          <c:showPercent val="0"/>
          <c:showBubbleSize val="0"/>
        </c:dLbls>
        <c:gapWidth val="214"/>
        <c:overlap val="-90"/>
        <c:axId val="1405378928"/>
        <c:axId val="1405362608"/>
      </c:barChart>
      <c:catAx>
        <c:axId val="14053789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Geography</a:t>
                </a:r>
                <a:r>
                  <a:rPr lang="en-US" b="1" baseline="0"/>
                  <a:t> Location &amp; Balance</a:t>
                </a:r>
                <a:endParaRPr lang="en-US" b="1"/>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405362608"/>
        <c:crosses val="autoZero"/>
        <c:auto val="1"/>
        <c:lblAlgn val="ctr"/>
        <c:lblOffset val="100"/>
        <c:noMultiLvlLbl val="0"/>
      </c:catAx>
      <c:valAx>
        <c:axId val="1405362608"/>
        <c:scaling>
          <c:orientation val="minMax"/>
        </c:scaling>
        <c:delete val="1"/>
        <c:axPos val="l"/>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US" b="1"/>
                  <a:t>Number</a:t>
                </a:r>
                <a:r>
                  <a:rPr lang="en-US" b="1" baseline="0"/>
                  <a:t> of customer</a:t>
                </a:r>
                <a:endParaRPr lang="en-US" b="1"/>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0537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size">
        <cx:f>_xlchart.v5.2</cx:f>
      </cx:numDim>
    </cx:data>
  </cx:chartData>
  <cx:chart>
    <cx:title pos="t" align="ctr" overlay="0">
      <cx:tx>
        <cx:txData>
          <cx:v>Active Accounts by Geographical Locations </cx:v>
        </cx:txData>
      </cx:tx>
      <cx:txPr>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Aptos Narrow" panose="02110004020202020204"/>
            </a:rPr>
            <a:t>Active Accounts by Geographical Locations </a:t>
          </a:r>
        </a:p>
      </cx:txPr>
    </cx:title>
    <cx:plotArea>
      <cx:plotAreaRegion>
        <cx:series layoutId="sunburst" uniqueId="{608D4C83-3014-45FA-98FA-11000D61082C}">
          <cx:tx>
            <cx:txData>
              <cx:f>_xlchart.v5.1</cx:f>
              <cx:v>NumberOF_Active_User</cx:v>
            </cx:txData>
          </cx:tx>
          <cx:dataLabels pos="ctr">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Aptos Narrow" panose="02110004020202020204"/>
                </a:endParaRPr>
              </a:p>
            </cx:txPr>
            <cx:visibility seriesName="0" categoryName="0" value="1"/>
            <cx:separator>, </cx:separator>
          </cx:dataLabels>
          <cx:dataId val="0"/>
          <cx:layoutPr>
            <cx:regionLabelLayout val="none"/>
          </cx:layoutPr>
        </cx:series>
      </cx:plotAreaRegion>
    </cx:plotArea>
    <cx:legend pos="b" align="ctr" overlay="0">
      <cx:txPr>
        <a:bodyPr spcFirstLastPara="1" vertOverflow="ellipsis" horzOverflow="overflow" wrap="square" lIns="0" tIns="0" rIns="0" bIns="0" anchor="ctr" anchorCtr="1"/>
        <a:lstStyle/>
        <a:p>
          <a:pPr algn="ctr" rtl="0">
            <a:defRPr sz="2000"/>
          </a:pPr>
          <a:endParaRPr lang="en-US" sz="20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106680</xdr:colOff>
      <xdr:row>7</xdr:row>
      <xdr:rowOff>160020</xdr:rowOff>
    </xdr:from>
    <xdr:to>
      <xdr:col>6</xdr:col>
      <xdr:colOff>655320</xdr:colOff>
      <xdr:row>22</xdr:row>
      <xdr:rowOff>160020</xdr:rowOff>
    </xdr:to>
    <xdr:graphicFrame macro="">
      <xdr:nvGraphicFramePr>
        <xdr:cNvPr id="2" name="Chart 1">
          <a:extLst>
            <a:ext uri="{FF2B5EF4-FFF2-40B4-BE49-F238E27FC236}">
              <a16:creationId xmlns:a16="http://schemas.microsoft.com/office/drawing/2014/main" id="{EB739596-FE27-403F-77B9-B9F589CD5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960120</xdr:colOff>
      <xdr:row>5</xdr:row>
      <xdr:rowOff>45720</xdr:rowOff>
    </xdr:from>
    <xdr:to>
      <xdr:col>5</xdr:col>
      <xdr:colOff>106680</xdr:colOff>
      <xdr:row>22</xdr:row>
      <xdr:rowOff>156210</xdr:rowOff>
    </xdr:to>
    <xdr:graphicFrame macro="">
      <xdr:nvGraphicFramePr>
        <xdr:cNvPr id="2" name="Chart 1">
          <a:extLst>
            <a:ext uri="{FF2B5EF4-FFF2-40B4-BE49-F238E27FC236}">
              <a16:creationId xmlns:a16="http://schemas.microsoft.com/office/drawing/2014/main" id="{AA7D73DE-15A2-C165-2DC6-A0101E603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1310640</xdr:colOff>
      <xdr:row>6</xdr:row>
      <xdr:rowOff>80010</xdr:rowOff>
    </xdr:from>
    <xdr:to>
      <xdr:col>7</xdr:col>
      <xdr:colOff>1120140</xdr:colOff>
      <xdr:row>21</xdr:row>
      <xdr:rowOff>80010</xdr:rowOff>
    </xdr:to>
    <xdr:graphicFrame macro="">
      <xdr:nvGraphicFramePr>
        <xdr:cNvPr id="2" name="Chart 1">
          <a:extLst>
            <a:ext uri="{FF2B5EF4-FFF2-40B4-BE49-F238E27FC236}">
              <a16:creationId xmlns:a16="http://schemas.microsoft.com/office/drawing/2014/main" id="{23E023C2-82EB-234D-8D18-157C4DF8B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1821180</xdr:colOff>
      <xdr:row>6</xdr:row>
      <xdr:rowOff>3810</xdr:rowOff>
    </xdr:from>
    <xdr:to>
      <xdr:col>13</xdr:col>
      <xdr:colOff>182880</xdr:colOff>
      <xdr:row>21</xdr:row>
      <xdr:rowOff>3810</xdr:rowOff>
    </xdr:to>
    <xdr:graphicFrame macro="">
      <xdr:nvGraphicFramePr>
        <xdr:cNvPr id="4" name="Chart 3">
          <a:extLst>
            <a:ext uri="{FF2B5EF4-FFF2-40B4-BE49-F238E27FC236}">
              <a16:creationId xmlns:a16="http://schemas.microsoft.com/office/drawing/2014/main" id="{3208F236-A00B-4EB8-FD0C-703EEFF0F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243840</xdr:colOff>
      <xdr:row>6</xdr:row>
      <xdr:rowOff>80010</xdr:rowOff>
    </xdr:from>
    <xdr:to>
      <xdr:col>14</xdr:col>
      <xdr:colOff>548640</xdr:colOff>
      <xdr:row>21</xdr:row>
      <xdr:rowOff>80010</xdr:rowOff>
    </xdr:to>
    <xdr:graphicFrame macro="">
      <xdr:nvGraphicFramePr>
        <xdr:cNvPr id="2" name="Chart 1">
          <a:extLst>
            <a:ext uri="{FF2B5EF4-FFF2-40B4-BE49-F238E27FC236}">
              <a16:creationId xmlns:a16="http://schemas.microsoft.com/office/drawing/2014/main" id="{8D310758-7363-47D6-660A-2B6542EDD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426719</xdr:colOff>
      <xdr:row>6</xdr:row>
      <xdr:rowOff>80010</xdr:rowOff>
    </xdr:from>
    <xdr:to>
      <xdr:col>14</xdr:col>
      <xdr:colOff>537882</xdr:colOff>
      <xdr:row>23</xdr:row>
      <xdr:rowOff>80682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830226C-3666-75C4-20EA-84EA91AF9C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599" y="1177290"/>
              <a:ext cx="5597563" cy="31096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373380</xdr:colOff>
      <xdr:row>14</xdr:row>
      <xdr:rowOff>137160</xdr:rowOff>
    </xdr:from>
    <xdr:to>
      <xdr:col>16</xdr:col>
      <xdr:colOff>152400</xdr:colOff>
      <xdr:row>30</xdr:row>
      <xdr:rowOff>114300</xdr:rowOff>
    </xdr:to>
    <xdr:graphicFrame macro="">
      <xdr:nvGraphicFramePr>
        <xdr:cNvPr id="5" name="Chart 4">
          <a:extLst>
            <a:ext uri="{FF2B5EF4-FFF2-40B4-BE49-F238E27FC236}">
              <a16:creationId xmlns:a16="http://schemas.microsoft.com/office/drawing/2014/main" id="{F6A60573-0DB8-AC6E-FF2B-FAE73EE5D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220980</xdr:colOff>
      <xdr:row>14</xdr:row>
      <xdr:rowOff>156210</xdr:rowOff>
    </xdr:from>
    <xdr:to>
      <xdr:col>27</xdr:col>
      <xdr:colOff>144780</xdr:colOff>
      <xdr:row>28</xdr:row>
      <xdr:rowOff>175260</xdr:rowOff>
    </xdr:to>
    <xdr:graphicFrame macro="">
      <xdr:nvGraphicFramePr>
        <xdr:cNvPr id="6" name="Chart 5">
          <a:extLst>
            <a:ext uri="{FF2B5EF4-FFF2-40B4-BE49-F238E27FC236}">
              <a16:creationId xmlns:a16="http://schemas.microsoft.com/office/drawing/2014/main" id="{B76D07FE-C349-9669-E07E-914EBEE67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38100</xdr:colOff>
      <xdr:row>1</xdr:row>
      <xdr:rowOff>68581</xdr:rowOff>
    </xdr:from>
    <xdr:to>
      <xdr:col>19</xdr:col>
      <xdr:colOff>213360</xdr:colOff>
      <xdr:row>9</xdr:row>
      <xdr:rowOff>144780</xdr:rowOff>
    </xdr:to>
    <mc:AlternateContent xmlns:mc="http://schemas.openxmlformats.org/markup-compatibility/2006" xmlns:a14="http://schemas.microsoft.com/office/drawing/2010/main">
      <mc:Choice Requires="a14">
        <xdr:graphicFrame macro="">
          <xdr:nvGraphicFramePr>
            <xdr:cNvPr id="8" name="CurrentQuarter">
              <a:extLst>
                <a:ext uri="{FF2B5EF4-FFF2-40B4-BE49-F238E27FC236}">
                  <a16:creationId xmlns:a16="http://schemas.microsoft.com/office/drawing/2014/main" id="{394A5029-2F45-AE1A-FD21-720E36B871F8}"/>
                </a:ext>
              </a:extLst>
            </xdr:cNvPr>
            <xdr:cNvGraphicFramePr/>
          </xdr:nvGraphicFramePr>
          <xdr:xfrm>
            <a:off x="0" y="0"/>
            <a:ext cx="0" cy="0"/>
          </xdr:xfrm>
          <a:graphic>
            <a:graphicData uri="http://schemas.microsoft.com/office/drawing/2010/slicer">
              <sle:slicer xmlns:sle="http://schemas.microsoft.com/office/drawing/2010/slicer" name="CurrentQuarter"/>
            </a:graphicData>
          </a:graphic>
        </xdr:graphicFrame>
      </mc:Choice>
      <mc:Fallback xmlns="">
        <xdr:sp macro="" textlink="">
          <xdr:nvSpPr>
            <xdr:cNvPr id="0" name=""/>
            <xdr:cNvSpPr>
              <a:spLocks noTextEdit="1"/>
            </xdr:cNvSpPr>
          </xdr:nvSpPr>
          <xdr:spPr>
            <a:xfrm>
              <a:off x="9685020" y="251461"/>
              <a:ext cx="1828800" cy="1539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441960</xdr:colOff>
      <xdr:row>14</xdr:row>
      <xdr:rowOff>11430</xdr:rowOff>
    </xdr:from>
    <xdr:to>
      <xdr:col>10</xdr:col>
      <xdr:colOff>693420</xdr:colOff>
      <xdr:row>29</xdr:row>
      <xdr:rowOff>11430</xdr:rowOff>
    </xdr:to>
    <xdr:graphicFrame macro="">
      <xdr:nvGraphicFramePr>
        <xdr:cNvPr id="2" name="Chart 1">
          <a:extLst>
            <a:ext uri="{FF2B5EF4-FFF2-40B4-BE49-F238E27FC236}">
              <a16:creationId xmlns:a16="http://schemas.microsoft.com/office/drawing/2014/main" id="{0A699792-61AC-417C-B0B5-F0C4D7AC0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60960</xdr:colOff>
      <xdr:row>4</xdr:row>
      <xdr:rowOff>171450</xdr:rowOff>
    </xdr:from>
    <xdr:to>
      <xdr:col>7</xdr:col>
      <xdr:colOff>220980</xdr:colOff>
      <xdr:row>19</xdr:row>
      <xdr:rowOff>171450</xdr:rowOff>
    </xdr:to>
    <xdr:graphicFrame macro="">
      <xdr:nvGraphicFramePr>
        <xdr:cNvPr id="2" name="Chart 1">
          <a:extLst>
            <a:ext uri="{FF2B5EF4-FFF2-40B4-BE49-F238E27FC236}">
              <a16:creationId xmlns:a16="http://schemas.microsoft.com/office/drawing/2014/main" id="{9BE7B94E-59BD-B240-AD19-9C67EF7F7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342900</xdr:colOff>
      <xdr:row>10</xdr:row>
      <xdr:rowOff>156210</xdr:rowOff>
    </xdr:from>
    <xdr:to>
      <xdr:col>6</xdr:col>
      <xdr:colOff>388620</xdr:colOff>
      <xdr:row>25</xdr:row>
      <xdr:rowOff>156210</xdr:rowOff>
    </xdr:to>
    <xdr:graphicFrame macro="">
      <xdr:nvGraphicFramePr>
        <xdr:cNvPr id="2" name="Chart 1">
          <a:extLst>
            <a:ext uri="{FF2B5EF4-FFF2-40B4-BE49-F238E27FC236}">
              <a16:creationId xmlns:a16="http://schemas.microsoft.com/office/drawing/2014/main" id="{650A6305-3E9C-B3CF-C015-D057F7F8C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563880</xdr:colOff>
      <xdr:row>12</xdr:row>
      <xdr:rowOff>19050</xdr:rowOff>
    </xdr:from>
    <xdr:to>
      <xdr:col>8</xdr:col>
      <xdr:colOff>1120140</xdr:colOff>
      <xdr:row>27</xdr:row>
      <xdr:rowOff>19050</xdr:rowOff>
    </xdr:to>
    <xdr:graphicFrame macro="">
      <xdr:nvGraphicFramePr>
        <xdr:cNvPr id="2" name="Chart 1">
          <a:extLst>
            <a:ext uri="{FF2B5EF4-FFF2-40B4-BE49-F238E27FC236}">
              <a16:creationId xmlns:a16="http://schemas.microsoft.com/office/drawing/2014/main" id="{9082D6A9-EF2E-D137-BA9A-A1CD0EB1A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129540</xdr:colOff>
      <xdr:row>6</xdr:row>
      <xdr:rowOff>148590</xdr:rowOff>
    </xdr:from>
    <xdr:to>
      <xdr:col>10</xdr:col>
      <xdr:colOff>1280160</xdr:colOff>
      <xdr:row>21</xdr:row>
      <xdr:rowOff>148590</xdr:rowOff>
    </xdr:to>
    <xdr:graphicFrame macro="">
      <xdr:nvGraphicFramePr>
        <xdr:cNvPr id="3" name="Chart 2">
          <a:extLst>
            <a:ext uri="{FF2B5EF4-FFF2-40B4-BE49-F238E27FC236}">
              <a16:creationId xmlns:a16="http://schemas.microsoft.com/office/drawing/2014/main" id="{2943B1AF-C8BE-F120-E32D-89ACE2850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Q15.xml"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9891875491 kumar" refreshedDate="46045.034012615739" createdVersion="8" refreshedVersion="8" minRefreshableVersion="3" recordCount="5" xr:uid="{976B5C84-1AC4-4136-9B47-2023B3C6CCEF}">
  <cacheSource type="worksheet">
    <worksheetSource ref="A1:D6" sheet="Objective Q2"/>
  </cacheSource>
  <cacheFields count="4">
    <cacheField name="CustomerID" numFmtId="0">
      <sharedItems containsSemiMixedTypes="0" containsString="0" containsNumber="1" containsInteger="1" minValue="15624641" maxValue="15804211" count="5">
        <n v="15804211"/>
        <n v="15763065"/>
        <n v="15624641"/>
        <n v="15691874"/>
        <n v="15699095"/>
      </sharedItems>
    </cacheField>
    <cacheField name="LastName" numFmtId="0">
      <sharedItems/>
    </cacheField>
    <cacheField name="HighestSalary" numFmtId="0">
      <sharedItems containsSemiMixedTypes="0" containsString="0" containsNumber="1" minValue="198826.03" maxValue="199841.32"/>
    </cacheField>
    <cacheField name="Rank"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9891875491 kumar" refreshedDate="46045.035506365741" createdVersion="8" refreshedVersion="8" minRefreshableVersion="3" recordCount="2" xr:uid="{2289ED79-9DA5-4550-BB63-75BEAE92F751}">
  <cacheSource type="worksheet">
    <worksheetSource ref="A1:C3" sheet="Objective 6"/>
  </cacheSource>
  <cacheFields count="3">
    <cacheField name="gender" numFmtId="0">
      <sharedItems count="2">
        <s v="Female"/>
        <s v="Male"/>
      </sharedItems>
    </cacheField>
    <cacheField name="Avg_EstimatedSalary" numFmtId="0">
      <sharedItems containsSemiMixedTypes="0" containsString="0" containsNumber="1" minValue="99664.58" maxValue="100601.54"/>
    </cacheField>
    <cacheField name="NumberOFActive_accounts" numFmtId="0">
      <sharedItems containsSemiMixedTypes="0" containsString="0" containsNumber="1" containsInteger="1" minValue="2284" maxValue="286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9891875491 kumar" refreshedDate="46047.477899884259" createdVersion="8" refreshedVersion="8" minRefreshableVersion="3" recordCount="48" xr:uid="{01918B42-7C89-4EBF-890C-C975A82BF856}">
  <cacheSource type="worksheet">
    <worksheetSource ref="A1:D49" sheet="Objective 11"/>
  </cacheSource>
  <cacheFields count="4">
    <cacheField name="MonthOfJoining" numFmtId="0">
      <sharedItems count="12">
        <s v="February"/>
        <s v="January"/>
        <s v="May"/>
        <s v="March"/>
        <s v="June"/>
        <s v="April"/>
        <s v="August"/>
        <s v="July"/>
        <s v="October"/>
        <s v="September"/>
        <s v="December"/>
        <s v="November"/>
      </sharedItems>
    </cacheField>
    <cacheField name="YearOfJoining" numFmtId="0">
      <sharedItems containsSemiMixedTypes="0" containsString="0" containsNumber="1" containsInteger="1" minValue="2016" maxValue="2019" count="4">
        <n v="2016"/>
        <n v="2017"/>
        <n v="2018"/>
        <n v="2019"/>
      </sharedItems>
    </cacheField>
    <cacheField name="CurrentQuarter" numFmtId="0">
      <sharedItems containsSemiMixedTypes="0" containsString="0" containsNumber="1" containsInteger="1" minValue="1" maxValue="4" count="4">
        <n v="1"/>
        <n v="2"/>
        <n v="3"/>
        <n v="4"/>
      </sharedItems>
    </cacheField>
    <cacheField name="NumberOfJoining" numFmtId="0">
      <sharedItems containsSemiMixedTypes="0" containsString="0" containsNumber="1" containsInteger="1" minValue="50" maxValue="470"/>
    </cacheField>
  </cacheFields>
  <extLst>
    <ext xmlns:x14="http://schemas.microsoft.com/office/spreadsheetml/2009/9/main" uri="{725AE2AE-9491-48be-B2B4-4EB974FC3084}">
      <x14:pivotCacheDefinition pivotCacheId="142239834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9891875491 kumar" refreshedDate="46047.622914236112" createdVersion="8" refreshedVersion="8" minRefreshableVersion="3" recordCount="6" xr:uid="{B88B223E-EEC4-4EC8-B81F-F5497B896CC8}">
  <cacheSource type="worksheet">
    <worksheetSource ref="A1:D7" sheet="Objective 16" r:id="rId2"/>
  </cacheSource>
  <cacheFields count="4">
    <cacheField name="GenderCategory" numFmtId="0">
      <sharedItems count="2">
        <s v="Female"/>
        <s v="Male"/>
      </sharedItems>
    </cacheField>
    <cacheField name="GeographyLocation" numFmtId="0">
      <sharedItems count="3">
        <s v="Germany"/>
        <s v="Spain"/>
        <s v="France"/>
      </sharedItems>
    </cacheField>
    <cacheField name="Average_Salary" numFmtId="0">
      <sharedItems containsSemiMixedTypes="0" containsString="0" containsNumber="1" minValue="98425.69" maxValue="102446.42"/>
    </cacheField>
    <cacheField name="Rank" numFmtId="0">
      <sharedItems containsSemiMixedTypes="0" containsString="0" containsNumber="1" containsInteger="1" minValue="1" maxValue="3" count="3">
        <n v="1"/>
        <n v="2"/>
        <n v="3"/>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9891875491 kumar" refreshedDate="46051.045221990738" createdVersion="8" refreshedVersion="8" minRefreshableVersion="3" recordCount="4" xr:uid="{2CE54BBD-E63B-4189-9B78-D3E43DF466EF}">
  <cacheSource type="worksheet">
    <worksheetSource ref="A1:D5" sheet="Objective 19"/>
  </cacheSource>
  <cacheFields count="4">
    <cacheField name="CreditCategory" numFmtId="0">
      <sharedItems count="4">
        <s v="Average"/>
        <s v="Poor"/>
        <s v="Excellent "/>
        <s v="Very Good"/>
      </sharedItems>
    </cacheField>
    <cacheField name="Exit_rate" numFmtId="0">
      <sharedItems containsSemiMixedTypes="0" containsString="0" containsNumber="1" minValue="3.11" maxValue="7.53"/>
    </cacheField>
    <cacheField name="Credit Score " numFmtId="0">
      <sharedItems/>
    </cacheField>
    <cacheField name="Rank" numFmtId="0">
      <sharedItems containsSemiMixedTypes="0" containsString="0" containsNumber="1" containsInteger="1" minValue="1" maxValue="4" count="4">
        <n v="1"/>
        <n v="2"/>
        <n v="3"/>
        <n v="4"/>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9891875491 kumar" refreshedDate="46058.960700000003" createdVersion="8" refreshedVersion="8" minRefreshableVersion="3" recordCount="12" xr:uid="{1B74F67D-0C66-440A-8E18-BD2EE4017127}">
  <cacheSource type="worksheet">
    <worksheetSource ref="A1:D13" sheet="Subjective Q9"/>
  </cacheSource>
  <cacheFields count="4">
    <cacheField name="geographyLocation" numFmtId="0">
      <sharedItems count="3">
        <s v="France"/>
        <s v="Germany"/>
        <s v="Spain"/>
      </sharedItems>
    </cacheField>
    <cacheField name="Balance_Category" numFmtId="0">
      <sharedItems count="2">
        <s v="high balance"/>
        <s v="Low Balance"/>
      </sharedItems>
    </cacheField>
    <cacheField name="Tenure_category" numFmtId="0">
      <sharedItems count="2">
        <s v="Long Tenure"/>
        <s v="Moderate Tenure"/>
      </sharedItems>
    </cacheField>
    <cacheField name="CntOFCustomers" numFmtId="0">
      <sharedItems containsSemiMixedTypes="0" containsString="0" containsNumber="1" containsInteger="1" minValue="75" maxValue="313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s v="Oluchukwu"/>
    <n v="199841.32"/>
    <n v="1"/>
  </r>
  <r>
    <x v="1"/>
    <s v="Palerma"/>
    <n v="199753.97"/>
    <n v="2"/>
  </r>
  <r>
    <x v="2"/>
    <s v="Kharlamova"/>
    <n v="199290.68"/>
    <n v="3"/>
  </r>
  <r>
    <x v="3"/>
    <s v="Kazakova"/>
    <n v="198929.84"/>
    <n v="4"/>
  </r>
  <r>
    <x v="4"/>
    <s v="Chandler"/>
    <n v="198826.03"/>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00601.54"/>
    <n v="2284"/>
  </r>
  <r>
    <x v="1"/>
    <n v="99664.58"/>
    <n v="286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n v="50"/>
  </r>
  <r>
    <x v="0"/>
    <x v="1"/>
    <x v="0"/>
    <n v="64"/>
  </r>
  <r>
    <x v="1"/>
    <x v="0"/>
    <x v="0"/>
    <n v="82"/>
  </r>
  <r>
    <x v="0"/>
    <x v="2"/>
    <x v="0"/>
    <n v="92"/>
  </r>
  <r>
    <x v="1"/>
    <x v="2"/>
    <x v="0"/>
    <n v="111"/>
  </r>
  <r>
    <x v="1"/>
    <x v="1"/>
    <x v="0"/>
    <n v="116"/>
  </r>
  <r>
    <x v="0"/>
    <x v="3"/>
    <x v="0"/>
    <n v="118"/>
  </r>
  <r>
    <x v="2"/>
    <x v="0"/>
    <x v="1"/>
    <n v="126"/>
  </r>
  <r>
    <x v="3"/>
    <x v="1"/>
    <x v="0"/>
    <n v="131"/>
  </r>
  <r>
    <x v="4"/>
    <x v="0"/>
    <x v="1"/>
    <n v="132"/>
  </r>
  <r>
    <x v="5"/>
    <x v="0"/>
    <x v="1"/>
    <n v="135"/>
  </r>
  <r>
    <x v="3"/>
    <x v="0"/>
    <x v="0"/>
    <n v="141"/>
  </r>
  <r>
    <x v="2"/>
    <x v="1"/>
    <x v="1"/>
    <n v="141"/>
  </r>
  <r>
    <x v="6"/>
    <x v="1"/>
    <x v="2"/>
    <n v="143"/>
  </r>
  <r>
    <x v="5"/>
    <x v="1"/>
    <x v="1"/>
    <n v="146"/>
  </r>
  <r>
    <x v="6"/>
    <x v="0"/>
    <x v="2"/>
    <n v="149"/>
  </r>
  <r>
    <x v="7"/>
    <x v="1"/>
    <x v="2"/>
    <n v="149"/>
  </r>
  <r>
    <x v="7"/>
    <x v="0"/>
    <x v="2"/>
    <n v="151"/>
  </r>
  <r>
    <x v="4"/>
    <x v="1"/>
    <x v="1"/>
    <n v="156"/>
  </r>
  <r>
    <x v="6"/>
    <x v="2"/>
    <x v="2"/>
    <n v="156"/>
  </r>
  <r>
    <x v="3"/>
    <x v="2"/>
    <x v="0"/>
    <n v="157"/>
  </r>
  <r>
    <x v="8"/>
    <x v="1"/>
    <x v="3"/>
    <n v="167"/>
  </r>
  <r>
    <x v="8"/>
    <x v="0"/>
    <x v="3"/>
    <n v="169"/>
  </r>
  <r>
    <x v="1"/>
    <x v="3"/>
    <x v="0"/>
    <n v="173"/>
  </r>
  <r>
    <x v="5"/>
    <x v="2"/>
    <x v="1"/>
    <n v="175"/>
  </r>
  <r>
    <x v="2"/>
    <x v="2"/>
    <x v="1"/>
    <n v="184"/>
  </r>
  <r>
    <x v="5"/>
    <x v="3"/>
    <x v="1"/>
    <n v="197"/>
  </r>
  <r>
    <x v="7"/>
    <x v="2"/>
    <x v="2"/>
    <n v="199"/>
  </r>
  <r>
    <x v="8"/>
    <x v="2"/>
    <x v="3"/>
    <n v="200"/>
  </r>
  <r>
    <x v="7"/>
    <x v="3"/>
    <x v="2"/>
    <n v="222"/>
  </r>
  <r>
    <x v="3"/>
    <x v="3"/>
    <x v="0"/>
    <n v="225"/>
  </r>
  <r>
    <x v="6"/>
    <x v="3"/>
    <x v="2"/>
    <n v="226"/>
  </r>
  <r>
    <x v="4"/>
    <x v="2"/>
    <x v="1"/>
    <n v="234"/>
  </r>
  <r>
    <x v="2"/>
    <x v="3"/>
    <x v="1"/>
    <n v="243"/>
  </r>
  <r>
    <x v="4"/>
    <x v="3"/>
    <x v="1"/>
    <n v="243"/>
  </r>
  <r>
    <x v="9"/>
    <x v="0"/>
    <x v="2"/>
    <n v="248"/>
  </r>
  <r>
    <x v="10"/>
    <x v="0"/>
    <x v="3"/>
    <n v="255"/>
  </r>
  <r>
    <x v="9"/>
    <x v="1"/>
    <x v="2"/>
    <n v="289"/>
  </r>
  <r>
    <x v="8"/>
    <x v="3"/>
    <x v="3"/>
    <n v="295"/>
  </r>
  <r>
    <x v="11"/>
    <x v="1"/>
    <x v="3"/>
    <n v="307"/>
  </r>
  <r>
    <x v="11"/>
    <x v="0"/>
    <x v="3"/>
    <n v="313"/>
  </r>
  <r>
    <x v="10"/>
    <x v="1"/>
    <x v="3"/>
    <n v="334"/>
  </r>
  <r>
    <x v="10"/>
    <x v="2"/>
    <x v="3"/>
    <n v="350"/>
  </r>
  <r>
    <x v="9"/>
    <x v="2"/>
    <x v="2"/>
    <n v="367"/>
  </r>
  <r>
    <x v="11"/>
    <x v="2"/>
    <x v="3"/>
    <n v="368"/>
  </r>
  <r>
    <x v="11"/>
    <x v="3"/>
    <x v="3"/>
    <n v="449"/>
  </r>
  <r>
    <x v="9"/>
    <x v="3"/>
    <x v="2"/>
    <n v="452"/>
  </r>
  <r>
    <x v="10"/>
    <x v="3"/>
    <x v="3"/>
    <n v="47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102446.42"/>
    <x v="0"/>
  </r>
  <r>
    <x v="0"/>
    <x v="1"/>
    <n v="100734.11"/>
    <x v="1"/>
  </r>
  <r>
    <x v="0"/>
    <x v="2"/>
    <n v="99564.25"/>
    <x v="2"/>
  </r>
  <r>
    <x v="1"/>
    <x v="2"/>
    <n v="100174.25"/>
    <x v="0"/>
  </r>
  <r>
    <x v="1"/>
    <x v="0"/>
    <n v="99905.03"/>
    <x v="1"/>
  </r>
  <r>
    <x v="1"/>
    <x v="1"/>
    <n v="98425.69"/>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7.53"/>
    <s v="600-700"/>
    <x v="0"/>
  </r>
  <r>
    <x v="1"/>
    <n v="6.6"/>
    <s v="600&lt;"/>
    <x v="1"/>
  </r>
  <r>
    <x v="2"/>
    <n v="3.13"/>
    <s v="750+"/>
    <x v="2"/>
  </r>
  <r>
    <x v="3"/>
    <n v="3.11"/>
    <s v="700-750"/>
    <x v="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132"/>
  </r>
  <r>
    <x v="0"/>
    <x v="0"/>
    <x v="1"/>
    <n v="300"/>
  </r>
  <r>
    <x v="0"/>
    <x v="1"/>
    <x v="0"/>
    <n v="1443"/>
  </r>
  <r>
    <x v="0"/>
    <x v="1"/>
    <x v="1"/>
    <n v="3139"/>
  </r>
  <r>
    <x v="1"/>
    <x v="0"/>
    <x v="0"/>
    <n v="103"/>
  </r>
  <r>
    <x v="1"/>
    <x v="0"/>
    <x v="1"/>
    <n v="211"/>
  </r>
  <r>
    <x v="1"/>
    <x v="1"/>
    <x v="0"/>
    <n v="697"/>
  </r>
  <r>
    <x v="1"/>
    <x v="1"/>
    <x v="1"/>
    <n v="1498"/>
  </r>
  <r>
    <x v="2"/>
    <x v="0"/>
    <x v="0"/>
    <n v="75"/>
  </r>
  <r>
    <x v="2"/>
    <x v="0"/>
    <x v="1"/>
    <n v="148"/>
  </r>
  <r>
    <x v="2"/>
    <x v="1"/>
    <x v="0"/>
    <n v="721"/>
  </r>
  <r>
    <x v="2"/>
    <x v="1"/>
    <x v="1"/>
    <n v="15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DBC463-8108-4AB4-8600-6791365DCF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G7" firstHeaderRow="1" firstDataRow="1" firstDataCol="1"/>
  <pivotFields count="4">
    <pivotField axis="axisRow" showAll="0" sortType="descending">
      <items count="6">
        <item x="2"/>
        <item x="3"/>
        <item x="4"/>
        <item x="1"/>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0"/>
  </rowFields>
  <rowItems count="6">
    <i>
      <x v="4"/>
    </i>
    <i>
      <x v="3"/>
    </i>
    <i>
      <x/>
    </i>
    <i>
      <x v="1"/>
    </i>
    <i>
      <x v="2"/>
    </i>
    <i t="grand">
      <x/>
    </i>
  </rowItems>
  <colItems count="1">
    <i/>
  </colItems>
  <dataFields count="1">
    <dataField name="Sum of HighestSalar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DA0F73-7C57-453E-A713-716CE728D723}"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Gender">
  <location ref="I1:J3" firstHeaderRow="1" firstDataRow="1" firstDataCol="1"/>
  <pivotFields count="3">
    <pivotField axis="axisRow" showAll="0">
      <items count="3">
        <item x="0"/>
        <item x="1"/>
        <item t="default"/>
      </items>
    </pivotField>
    <pivotField showAll="0"/>
    <pivotField dataField="1" showAll="0"/>
  </pivotFields>
  <rowFields count="1">
    <field x="0"/>
  </rowFields>
  <rowItems count="2">
    <i>
      <x/>
    </i>
    <i>
      <x v="1"/>
    </i>
  </rowItems>
  <colItems count="1">
    <i/>
  </colItems>
  <dataFields count="1">
    <dataField name=" NumberOFActive_accounts" fld="2"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819D10-B5C6-4227-940D-052BE7026ACB}"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Gender">
  <location ref="F1:G3" firstHeaderRow="1" firstDataRow="1" firstDataCol="1"/>
  <pivotFields count="3">
    <pivotField axis="axisRow" showAll="0">
      <items count="3">
        <item x="0"/>
        <item x="1"/>
        <item t="default"/>
      </items>
    </pivotField>
    <pivotField dataField="1" showAll="0"/>
    <pivotField showAll="0"/>
  </pivotFields>
  <rowFields count="1">
    <field x="0"/>
  </rowFields>
  <rowItems count="2">
    <i>
      <x/>
    </i>
    <i>
      <x v="1"/>
    </i>
  </rowItems>
  <colItems count="1">
    <i/>
  </colItems>
  <dataFields count="1">
    <dataField name=" Avg_EstimatedSalary" fld="1"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FAC2B6-BD49-4A77-913A-94F02F27B53D}"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Months " colHeaderCaption="Years">
  <location ref="F1:G13" firstHeaderRow="1" firstDataRow="1" firstDataCol="1"/>
  <pivotFields count="4">
    <pivotField axis="axisRow" showAll="0">
      <items count="13">
        <item x="1"/>
        <item x="0"/>
        <item x="3"/>
        <item x="5"/>
        <item x="2"/>
        <item x="4"/>
        <item x="7"/>
        <item x="6"/>
        <item x="9"/>
        <item x="8"/>
        <item x="11"/>
        <item x="10"/>
        <item t="default"/>
      </items>
    </pivotField>
    <pivotField showAll="0">
      <items count="5">
        <item x="0"/>
        <item x="1"/>
        <item x="2"/>
        <item x="3"/>
        <item t="default"/>
      </items>
    </pivotField>
    <pivotField showAll="0">
      <items count="5">
        <item x="0"/>
        <item x="1"/>
        <item x="2"/>
        <item x="3"/>
        <item t="default"/>
      </items>
    </pivotField>
    <pivotField dataField="1" showAll="0"/>
  </pivotFields>
  <rowFields count="1">
    <field x="0"/>
  </rowFields>
  <rowItems count="12">
    <i>
      <x/>
    </i>
    <i>
      <x v="1"/>
    </i>
    <i>
      <x v="2"/>
    </i>
    <i>
      <x v="3"/>
    </i>
    <i>
      <x v="4"/>
    </i>
    <i>
      <x v="5"/>
    </i>
    <i>
      <x v="6"/>
    </i>
    <i>
      <x v="7"/>
    </i>
    <i>
      <x v="8"/>
    </i>
    <i>
      <x v="9"/>
    </i>
    <i>
      <x v="10"/>
    </i>
    <i>
      <x v="11"/>
    </i>
  </rowItems>
  <colItems count="1">
    <i/>
  </colItems>
  <dataFields count="1">
    <dataField name=" NumberOfJoining" fld="3" baseField="0" baseItem="0"/>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C9D6EC-A3FE-4904-80B4-9D40128BB522}"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Months " colHeaderCaption="Years">
  <location ref="K1:L5" firstHeaderRow="1" firstDataRow="1" firstDataCol="1"/>
  <pivotFields count="4">
    <pivotField showAll="0">
      <items count="13">
        <item x="1"/>
        <item x="0"/>
        <item x="3"/>
        <item x="5"/>
        <item x="2"/>
        <item x="4"/>
        <item x="7"/>
        <item x="6"/>
        <item x="9"/>
        <item x="8"/>
        <item x="11"/>
        <item x="10"/>
        <item t="default"/>
      </items>
    </pivotField>
    <pivotField axis="axisRow" showAll="0">
      <items count="5">
        <item x="0"/>
        <item x="1"/>
        <item x="2"/>
        <item x="3"/>
        <item t="default"/>
      </items>
    </pivotField>
    <pivotField showAll="0">
      <items count="5">
        <item x="0"/>
        <item x="1"/>
        <item x="2"/>
        <item x="3"/>
        <item t="default"/>
      </items>
    </pivotField>
    <pivotField dataField="1" showAll="0"/>
  </pivotFields>
  <rowFields count="1">
    <field x="1"/>
  </rowFields>
  <rowItems count="4">
    <i>
      <x/>
    </i>
    <i>
      <x v="1"/>
    </i>
    <i>
      <x v="2"/>
    </i>
    <i>
      <x v="3"/>
    </i>
  </rowItems>
  <colItems count="1">
    <i/>
  </colItems>
  <dataFields count="1">
    <dataField name=" NumberOfJoining" fld="3" baseField="0" baseItem="0"/>
  </dataFields>
  <chartFormats count="8">
    <chartFormat chart="0"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 count="1" selected="0">
            <x v="0"/>
          </reference>
        </references>
      </pivotArea>
    </chartFormat>
    <chartFormat chart="16" format="2">
      <pivotArea type="data" outline="0" fieldPosition="0">
        <references count="2">
          <reference field="4294967294" count="1" selected="0">
            <x v="0"/>
          </reference>
          <reference field="1" count="1" selected="0">
            <x v="1"/>
          </reference>
        </references>
      </pivotArea>
    </chartFormat>
    <chartFormat chart="16" format="3">
      <pivotArea type="data" outline="0" fieldPosition="0">
        <references count="2">
          <reference field="4294967294" count="1" selected="0">
            <x v="0"/>
          </reference>
          <reference field="1" count="1" selected="0">
            <x v="2"/>
          </reference>
        </references>
      </pivotArea>
    </chartFormat>
    <chartFormat chart="16"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19B3D7-93A4-4E72-ABA8-49D65EA0797B}"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Rank" colHeaderCaption="">
  <location ref="G4:I14" firstHeaderRow="1" firstDataRow="2" firstDataCol="1"/>
  <pivotFields count="4">
    <pivotField axis="axisCol" showAll="0">
      <items count="3">
        <item x="0"/>
        <item x="1"/>
        <item t="default"/>
      </items>
    </pivotField>
    <pivotField axis="axisRow" showAll="0">
      <items count="4">
        <item x="2"/>
        <item x="0"/>
        <item x="1"/>
        <item t="default"/>
      </items>
    </pivotField>
    <pivotField dataField="1" showAll="0"/>
    <pivotField axis="axisRow" showAll="0">
      <items count="4">
        <item x="0"/>
        <item x="1"/>
        <item x="2"/>
        <item t="default"/>
      </items>
    </pivotField>
  </pivotFields>
  <rowFields count="2">
    <field x="3"/>
    <field x="1"/>
  </rowFields>
  <rowItems count="9">
    <i>
      <x/>
    </i>
    <i r="1">
      <x/>
    </i>
    <i r="1">
      <x v="1"/>
    </i>
    <i>
      <x v="1"/>
    </i>
    <i r="1">
      <x v="1"/>
    </i>
    <i r="1">
      <x v="2"/>
    </i>
    <i>
      <x v="2"/>
    </i>
    <i r="1">
      <x/>
    </i>
    <i r="1">
      <x v="2"/>
    </i>
  </rowItems>
  <colFields count="1">
    <field x="0"/>
  </colFields>
  <colItems count="2">
    <i>
      <x/>
    </i>
    <i>
      <x v="1"/>
    </i>
  </colItems>
  <dataFields count="1">
    <dataField name="Sum of Average_Salary" fld="2"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6" format="2" series="1">
      <pivotArea type="data" outline="0" fieldPosition="0">
        <references count="2">
          <reference field="4294967294" count="1" selected="0">
            <x v="0"/>
          </reference>
          <reference field="0" count="1" selected="0">
            <x v="0"/>
          </reference>
        </references>
      </pivotArea>
    </chartFormat>
    <chartFormat chart="6" format="3"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9F9671-38B6-4F47-82E9-86D00C3BBC3A}"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Rank / Category">
  <location ref="F1:G9" firstHeaderRow="1" firstDataRow="1" firstDataCol="1"/>
  <pivotFields count="4">
    <pivotField axis="axisRow" showAll="0">
      <items count="5">
        <item x="0"/>
        <item x="2"/>
        <item x="1"/>
        <item x="3"/>
        <item t="default"/>
      </items>
    </pivotField>
    <pivotField dataField="1" showAll="0"/>
    <pivotField showAll="0"/>
    <pivotField axis="axisRow" showAll="0">
      <items count="5">
        <item x="0"/>
        <item x="1"/>
        <item x="2"/>
        <item x="3"/>
        <item t="default"/>
      </items>
    </pivotField>
  </pivotFields>
  <rowFields count="2">
    <field x="3"/>
    <field x="0"/>
  </rowFields>
  <rowItems count="8">
    <i>
      <x/>
    </i>
    <i r="1">
      <x/>
    </i>
    <i>
      <x v="1"/>
    </i>
    <i r="1">
      <x v="2"/>
    </i>
    <i>
      <x v="2"/>
    </i>
    <i r="1">
      <x v="1"/>
    </i>
    <i>
      <x v="3"/>
    </i>
    <i r="1">
      <x v="3"/>
    </i>
  </rowItems>
  <colItems count="1">
    <i/>
  </colItems>
  <dataFields count="1">
    <dataField name=" Exit_rate" fld="1"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D9BC37-47E9-4254-B5E3-B240C4EC5EB7}"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Tenure / Balance Category ">
  <location ref="G1:H9" firstHeaderRow="1" firstDataRow="1" firstDataCol="1"/>
  <pivotFields count="4">
    <pivotField axis="axisRow" showAll="0">
      <items count="4">
        <item x="0"/>
        <item x="1"/>
        <item x="2"/>
        <item t="default"/>
      </items>
    </pivotField>
    <pivotField showAll="0">
      <items count="3">
        <item x="0"/>
        <item x="1"/>
        <item t="default"/>
      </items>
    </pivotField>
    <pivotField axis="axisRow" showAll="0">
      <items count="3">
        <item x="0"/>
        <item x="1"/>
        <item t="default"/>
      </items>
    </pivotField>
    <pivotField dataField="1" showAll="0"/>
  </pivotFields>
  <rowFields count="2">
    <field x="2"/>
    <field x="0"/>
  </rowFields>
  <rowItems count="8">
    <i>
      <x/>
    </i>
    <i r="1">
      <x/>
    </i>
    <i r="1">
      <x v="1"/>
    </i>
    <i r="1">
      <x v="2"/>
    </i>
    <i>
      <x v="1"/>
    </i>
    <i r="1">
      <x/>
    </i>
    <i r="1">
      <x v="1"/>
    </i>
    <i r="1">
      <x v="2"/>
    </i>
  </rowItems>
  <colItems count="1">
    <i/>
  </colItems>
  <dataFields count="1">
    <dataField name=" CntOFCustomers" fld="3"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487EAA-618B-4D5A-8F46-82397F3445D3}"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Tenure / Balance Category ">
  <location ref="J1:K9" firstHeaderRow="1" firstDataRow="1" firstDataCol="1"/>
  <pivotFields count="4">
    <pivotField axis="axisRow" showAll="0">
      <items count="4">
        <item x="0"/>
        <item x="1"/>
        <item x="2"/>
        <item t="default"/>
      </items>
    </pivotField>
    <pivotField axis="axisRow" showAll="0">
      <items count="3">
        <item x="0"/>
        <item x="1"/>
        <item t="default"/>
      </items>
    </pivotField>
    <pivotField showAll="0">
      <items count="3">
        <item x="0"/>
        <item x="1"/>
        <item t="default"/>
      </items>
    </pivotField>
    <pivotField dataField="1" showAll="0"/>
  </pivotFields>
  <rowFields count="2">
    <field x="1"/>
    <field x="0"/>
  </rowFields>
  <rowItems count="8">
    <i>
      <x/>
    </i>
    <i r="1">
      <x/>
    </i>
    <i r="1">
      <x v="1"/>
    </i>
    <i r="1">
      <x v="2"/>
    </i>
    <i>
      <x v="1"/>
    </i>
    <i r="1">
      <x/>
    </i>
    <i r="1">
      <x v="1"/>
    </i>
    <i r="1">
      <x v="2"/>
    </i>
  </rowItems>
  <colItems count="1">
    <i/>
  </colItems>
  <dataFields count="1">
    <dataField name="Sum of CntOFCustomers" fld="3"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Quarter" xr10:uid="{3FCC4790-1EA3-4B1F-8E12-A47EBE426D72}" sourceName="CurrentQuarter">
  <pivotTables>
    <pivotTable tabId="6" name="PivotTable1"/>
  </pivotTables>
  <data>
    <tabular pivotCacheId="142239834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Quarter" xr10:uid="{F1247386-D622-4E7E-B5D7-4D2A8E751E91}" cache="Slicer_CurrentQuarter" caption="CurrentQuart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529A9-DFCA-4D22-A4E6-B0F646A260F9}">
  <dimension ref="A1:G7"/>
  <sheetViews>
    <sheetView workbookViewId="0">
      <selection activeCell="J16" sqref="J16"/>
    </sheetView>
  </sheetViews>
  <sheetFormatPr defaultRowHeight="14.55" customHeight="1" x14ac:dyDescent="0.3"/>
  <cols>
    <col min="1" max="1" width="10.5546875" bestFit="1" customWidth="1"/>
    <col min="2" max="2" width="20.33203125" customWidth="1"/>
    <col min="3" max="3" width="12" bestFit="1" customWidth="1"/>
    <col min="4" max="4" width="5" bestFit="1" customWidth="1"/>
    <col min="6" max="6" width="12.44140625" bestFit="1" customWidth="1"/>
    <col min="7" max="7" width="18.77734375" bestFit="1" customWidth="1"/>
  </cols>
  <sheetData>
    <row r="1" spans="1:7" ht="14.55" customHeight="1" x14ac:dyDescent="0.3">
      <c r="A1" t="s">
        <v>0</v>
      </c>
      <c r="B1" t="s">
        <v>1</v>
      </c>
      <c r="C1" t="s">
        <v>2</v>
      </c>
      <c r="D1" t="s">
        <v>3</v>
      </c>
      <c r="F1" s="3" t="s">
        <v>12</v>
      </c>
      <c r="G1" t="s">
        <v>11</v>
      </c>
    </row>
    <row r="2" spans="1:7" ht="14.55" customHeight="1" x14ac:dyDescent="0.3">
      <c r="A2">
        <v>15804211</v>
      </c>
      <c r="B2" t="s">
        <v>4</v>
      </c>
      <c r="C2">
        <v>199841.32</v>
      </c>
      <c r="D2">
        <v>1</v>
      </c>
      <c r="F2" s="1">
        <v>15804211</v>
      </c>
      <c r="G2">
        <v>199841.32</v>
      </c>
    </row>
    <row r="3" spans="1:7" ht="14.55" customHeight="1" x14ac:dyDescent="0.3">
      <c r="A3">
        <v>15763065</v>
      </c>
      <c r="B3" t="s">
        <v>5</v>
      </c>
      <c r="C3">
        <v>199753.97</v>
      </c>
      <c r="D3">
        <v>2</v>
      </c>
      <c r="F3" s="1">
        <v>15763065</v>
      </c>
      <c r="G3">
        <v>199753.97</v>
      </c>
    </row>
    <row r="4" spans="1:7" ht="14.55" customHeight="1" x14ac:dyDescent="0.3">
      <c r="A4">
        <v>15624641</v>
      </c>
      <c r="B4" t="s">
        <v>6</v>
      </c>
      <c r="C4">
        <v>199290.68</v>
      </c>
      <c r="D4">
        <v>3</v>
      </c>
      <c r="F4" s="1">
        <v>15624641</v>
      </c>
      <c r="G4">
        <v>199290.68</v>
      </c>
    </row>
    <row r="5" spans="1:7" ht="14.55" customHeight="1" x14ac:dyDescent="0.3">
      <c r="A5">
        <v>15691874</v>
      </c>
      <c r="B5" t="s">
        <v>7</v>
      </c>
      <c r="C5">
        <v>198929.84</v>
      </c>
      <c r="D5">
        <v>4</v>
      </c>
      <c r="F5" s="1">
        <v>15691874</v>
      </c>
      <c r="G5">
        <v>198929.84</v>
      </c>
    </row>
    <row r="6" spans="1:7" ht="14.55" customHeight="1" x14ac:dyDescent="0.3">
      <c r="A6">
        <v>15699095</v>
      </c>
      <c r="B6" t="s">
        <v>8</v>
      </c>
      <c r="C6">
        <v>198826.03</v>
      </c>
      <c r="D6">
        <v>5</v>
      </c>
      <c r="F6" s="1">
        <v>15699095</v>
      </c>
      <c r="G6">
        <v>198826.03</v>
      </c>
    </row>
    <row r="7" spans="1:7" ht="14.55" customHeight="1" x14ac:dyDescent="0.3">
      <c r="F7" s="1" t="s">
        <v>13</v>
      </c>
      <c r="G7">
        <v>996641.84000000008</v>
      </c>
    </row>
  </sheetData>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1687F-154A-40B8-BA20-DCD83269F1E7}">
  <dimension ref="A1:B2"/>
  <sheetViews>
    <sheetView workbookViewId="0">
      <selection activeCell="I7" sqref="I7"/>
    </sheetView>
  </sheetViews>
  <sheetFormatPr defaultRowHeight="14.55" customHeight="1" x14ac:dyDescent="0.3"/>
  <cols>
    <col min="1" max="1" width="29.21875" bestFit="1" customWidth="1"/>
    <col min="2" max="2" width="30.21875" bestFit="1" customWidth="1"/>
  </cols>
  <sheetData>
    <row r="1" spans="1:2" ht="14.55" customHeight="1" x14ac:dyDescent="0.3">
      <c r="A1" s="2" t="s">
        <v>9</v>
      </c>
      <c r="B1" s="2" t="s">
        <v>10</v>
      </c>
    </row>
    <row r="2" spans="1:2" ht="14.55" customHeight="1" x14ac:dyDescent="0.3">
      <c r="A2" s="2">
        <v>650.53</v>
      </c>
      <c r="B2" s="2">
        <v>651.85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48884-783A-40AE-9916-604548E135B9}">
  <dimension ref="A1:J3"/>
  <sheetViews>
    <sheetView workbookViewId="0">
      <selection activeCell="L4" sqref="L4"/>
    </sheetView>
  </sheetViews>
  <sheetFormatPr defaultRowHeight="14.4" x14ac:dyDescent="0.3"/>
  <cols>
    <col min="2" max="2" width="17.6640625" bestFit="1" customWidth="1"/>
    <col min="3" max="3" width="23.33203125" bestFit="1" customWidth="1"/>
    <col min="6" max="6" width="9.33203125" bestFit="1" customWidth="1"/>
    <col min="7" max="7" width="19" bestFit="1" customWidth="1"/>
    <col min="8" max="8" width="30.21875" bestFit="1" customWidth="1"/>
    <col min="9" max="9" width="9.33203125" bestFit="1" customWidth="1"/>
    <col min="10" max="10" width="24.33203125" bestFit="1" customWidth="1"/>
  </cols>
  <sheetData>
    <row r="1" spans="1:10" x14ac:dyDescent="0.3">
      <c r="A1" t="s">
        <v>14</v>
      </c>
      <c r="B1" t="s">
        <v>15</v>
      </c>
      <c r="C1" t="s">
        <v>16</v>
      </c>
      <c r="F1" s="3" t="s">
        <v>19</v>
      </c>
      <c r="G1" t="s">
        <v>20</v>
      </c>
      <c r="I1" s="3" t="s">
        <v>19</v>
      </c>
      <c r="J1" t="s">
        <v>21</v>
      </c>
    </row>
    <row r="2" spans="1:10" x14ac:dyDescent="0.3">
      <c r="A2" t="s">
        <v>17</v>
      </c>
      <c r="B2">
        <v>100601.54</v>
      </c>
      <c r="C2">
        <v>2284</v>
      </c>
      <c r="F2" s="1" t="s">
        <v>17</v>
      </c>
      <c r="G2">
        <v>100601.54</v>
      </c>
      <c r="I2" s="1" t="s">
        <v>17</v>
      </c>
      <c r="J2">
        <v>2284</v>
      </c>
    </row>
    <row r="3" spans="1:10" x14ac:dyDescent="0.3">
      <c r="A3" t="s">
        <v>18</v>
      </c>
      <c r="B3">
        <v>99664.58</v>
      </c>
      <c r="C3">
        <v>2867</v>
      </c>
      <c r="F3" s="1" t="s">
        <v>18</v>
      </c>
      <c r="G3">
        <v>99664.58</v>
      </c>
      <c r="I3" s="1" t="s">
        <v>18</v>
      </c>
      <c r="J3">
        <v>2867</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468A4-9EF9-4D5D-8423-7E54064D76BA}">
  <dimension ref="A1:B5"/>
  <sheetViews>
    <sheetView topLeftCell="A2" workbookViewId="0">
      <selection activeCell="L28" sqref="L27:L28"/>
    </sheetView>
  </sheetViews>
  <sheetFormatPr defaultRowHeight="14.4" x14ac:dyDescent="0.3"/>
  <cols>
    <col min="1" max="1" width="13.109375" bestFit="1" customWidth="1"/>
  </cols>
  <sheetData>
    <row r="1" spans="1:2" x14ac:dyDescent="0.3">
      <c r="A1" t="s">
        <v>22</v>
      </c>
      <c r="B1" t="s">
        <v>23</v>
      </c>
    </row>
    <row r="2" spans="1:2" x14ac:dyDescent="0.3">
      <c r="A2" t="s">
        <v>24</v>
      </c>
      <c r="B2">
        <v>7.53</v>
      </c>
    </row>
    <row r="3" spans="1:2" x14ac:dyDescent="0.3">
      <c r="A3" t="s">
        <v>25</v>
      </c>
      <c r="B3">
        <v>6.6</v>
      </c>
    </row>
    <row r="4" spans="1:2" x14ac:dyDescent="0.3">
      <c r="A4" t="s">
        <v>26</v>
      </c>
      <c r="B4">
        <v>3.13</v>
      </c>
    </row>
    <row r="5" spans="1:2" x14ac:dyDescent="0.3">
      <c r="A5" t="s">
        <v>27</v>
      </c>
      <c r="B5">
        <v>3.11</v>
      </c>
    </row>
  </sheetData>
  <sortState xmlns:xlrd2="http://schemas.microsoft.com/office/spreadsheetml/2017/richdata2" ref="A2:B5">
    <sortCondition descending="1" ref="B2:B5"/>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E71FA-101C-4D49-B552-4440CBAAC6DB}">
  <dimension ref="A1:B4"/>
  <sheetViews>
    <sheetView zoomScale="85" zoomScaleNormal="85" workbookViewId="0">
      <selection activeCell="R22" sqref="R22"/>
    </sheetView>
  </sheetViews>
  <sheetFormatPr defaultRowHeight="14.4" x14ac:dyDescent="0.3"/>
  <cols>
    <col min="1" max="1" width="16.6640625" bestFit="1" customWidth="1"/>
    <col min="2" max="2" width="20.33203125" bestFit="1" customWidth="1"/>
    <col min="3" max="3" width="9" customWidth="1"/>
  </cols>
  <sheetData>
    <row r="1" spans="1:2" x14ac:dyDescent="0.3">
      <c r="A1" t="s">
        <v>28</v>
      </c>
      <c r="B1" t="s">
        <v>29</v>
      </c>
    </row>
    <row r="2" spans="1:2" x14ac:dyDescent="0.3">
      <c r="A2" t="s">
        <v>30</v>
      </c>
      <c r="B2">
        <v>797</v>
      </c>
    </row>
    <row r="3" spans="1:2" x14ac:dyDescent="0.3">
      <c r="A3" t="s">
        <v>31</v>
      </c>
      <c r="B3">
        <v>431</v>
      </c>
    </row>
    <row r="4" spans="1:2" x14ac:dyDescent="0.3">
      <c r="A4" t="s">
        <v>32</v>
      </c>
      <c r="B4">
        <v>399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837D9-E88A-41BD-B03B-DF5C580191F0}">
  <dimension ref="A1:L49"/>
  <sheetViews>
    <sheetView workbookViewId="0">
      <selection activeCell="W6" sqref="W6"/>
    </sheetView>
  </sheetViews>
  <sheetFormatPr defaultRowHeight="14.4" x14ac:dyDescent="0.3"/>
  <cols>
    <col min="1" max="1" width="13.44140625" bestFit="1" customWidth="1"/>
    <col min="2" max="2" width="12" bestFit="1" customWidth="1"/>
    <col min="3" max="3" width="13.44140625" bestFit="1" customWidth="1"/>
    <col min="4" max="4" width="15" bestFit="1" customWidth="1"/>
    <col min="6" max="6" width="9.77734375" bestFit="1" customWidth="1"/>
    <col min="7" max="7" width="15.77734375" bestFit="1" customWidth="1"/>
    <col min="8" max="10" width="5" bestFit="1" customWidth="1"/>
    <col min="11" max="11" width="9.5546875" bestFit="1" customWidth="1"/>
    <col min="12" max="12" width="15.77734375" bestFit="1" customWidth="1"/>
    <col min="13" max="15" width="4" bestFit="1" customWidth="1"/>
    <col min="16" max="16" width="9.44140625" bestFit="1" customWidth="1"/>
    <col min="17" max="17" width="6.6640625" bestFit="1" customWidth="1"/>
    <col min="18" max="20" width="4" bestFit="1" customWidth="1"/>
    <col min="21" max="21" width="9.44140625" bestFit="1" customWidth="1"/>
    <col min="22" max="22" width="6.6640625" bestFit="1" customWidth="1"/>
    <col min="23" max="24" width="4" bestFit="1" customWidth="1"/>
    <col min="25" max="25" width="5" bestFit="1" customWidth="1"/>
    <col min="26" max="26" width="9.44140625" bestFit="1" customWidth="1"/>
    <col min="27" max="27" width="10.5546875" bestFit="1" customWidth="1"/>
    <col min="28" max="28" width="14.21875" bestFit="1" customWidth="1"/>
    <col min="29" max="29" width="11.33203125" bestFit="1" customWidth="1"/>
    <col min="30" max="30" width="14.21875" bestFit="1" customWidth="1"/>
    <col min="31" max="31" width="10.5546875" bestFit="1" customWidth="1"/>
  </cols>
  <sheetData>
    <row r="1" spans="1:12" x14ac:dyDescent="0.3">
      <c r="A1" t="s">
        <v>33</v>
      </c>
      <c r="B1" t="s">
        <v>34</v>
      </c>
      <c r="C1" t="s">
        <v>35</v>
      </c>
      <c r="D1" t="s">
        <v>36</v>
      </c>
      <c r="F1" s="3" t="s">
        <v>49</v>
      </c>
      <c r="G1" t="s">
        <v>50</v>
      </c>
      <c r="K1" s="3" t="s">
        <v>49</v>
      </c>
      <c r="L1" t="s">
        <v>50</v>
      </c>
    </row>
    <row r="2" spans="1:12" x14ac:dyDescent="0.3">
      <c r="A2" t="s">
        <v>37</v>
      </c>
      <c r="B2">
        <v>2016</v>
      </c>
      <c r="C2">
        <v>1</v>
      </c>
      <c r="D2">
        <v>50</v>
      </c>
      <c r="F2" s="1" t="s">
        <v>38</v>
      </c>
      <c r="G2">
        <v>482</v>
      </c>
      <c r="K2" s="1">
        <v>2016</v>
      </c>
      <c r="L2">
        <v>1951</v>
      </c>
    </row>
    <row r="3" spans="1:12" x14ac:dyDescent="0.3">
      <c r="A3" t="s">
        <v>37</v>
      </c>
      <c r="B3">
        <v>2017</v>
      </c>
      <c r="C3">
        <v>1</v>
      </c>
      <c r="D3">
        <v>64</v>
      </c>
      <c r="F3" s="1" t="s">
        <v>37</v>
      </c>
      <c r="G3">
        <v>324</v>
      </c>
      <c r="K3" s="1">
        <v>2017</v>
      </c>
      <c r="L3">
        <v>2143</v>
      </c>
    </row>
    <row r="4" spans="1:12" x14ac:dyDescent="0.3">
      <c r="A4" t="s">
        <v>38</v>
      </c>
      <c r="B4">
        <v>2016</v>
      </c>
      <c r="C4">
        <v>1</v>
      </c>
      <c r="D4">
        <v>82</v>
      </c>
      <c r="F4" s="1" t="s">
        <v>39</v>
      </c>
      <c r="G4">
        <v>654</v>
      </c>
      <c r="K4" s="1">
        <v>2018</v>
      </c>
      <c r="L4">
        <v>2593</v>
      </c>
    </row>
    <row r="5" spans="1:12" x14ac:dyDescent="0.3">
      <c r="A5" t="s">
        <v>37</v>
      </c>
      <c r="B5">
        <v>2018</v>
      </c>
      <c r="C5">
        <v>1</v>
      </c>
      <c r="D5">
        <v>92</v>
      </c>
      <c r="F5" s="1" t="s">
        <v>42</v>
      </c>
      <c r="G5">
        <v>653</v>
      </c>
      <c r="K5" s="1">
        <v>2019</v>
      </c>
      <c r="L5">
        <v>3313</v>
      </c>
    </row>
    <row r="6" spans="1:12" x14ac:dyDescent="0.3">
      <c r="A6" t="s">
        <v>38</v>
      </c>
      <c r="B6">
        <v>2018</v>
      </c>
      <c r="C6">
        <v>1</v>
      </c>
      <c r="D6">
        <v>111</v>
      </c>
      <c r="F6" s="1" t="s">
        <v>41</v>
      </c>
      <c r="G6">
        <v>694</v>
      </c>
    </row>
    <row r="7" spans="1:12" x14ac:dyDescent="0.3">
      <c r="A7" t="s">
        <v>38</v>
      </c>
      <c r="B7">
        <v>2017</v>
      </c>
      <c r="C7">
        <v>1</v>
      </c>
      <c r="D7">
        <v>116</v>
      </c>
      <c r="F7" s="1" t="s">
        <v>40</v>
      </c>
      <c r="G7">
        <v>765</v>
      </c>
    </row>
    <row r="8" spans="1:12" x14ac:dyDescent="0.3">
      <c r="A8" t="s">
        <v>37</v>
      </c>
      <c r="B8">
        <v>2019</v>
      </c>
      <c r="C8">
        <v>1</v>
      </c>
      <c r="D8">
        <v>118</v>
      </c>
      <c r="F8" s="1" t="s">
        <v>44</v>
      </c>
      <c r="G8">
        <v>721</v>
      </c>
    </row>
    <row r="9" spans="1:12" x14ac:dyDescent="0.3">
      <c r="A9" t="s">
        <v>41</v>
      </c>
      <c r="B9">
        <v>2016</v>
      </c>
      <c r="C9">
        <v>2</v>
      </c>
      <c r="D9">
        <v>126</v>
      </c>
      <c r="F9" s="1" t="s">
        <v>45</v>
      </c>
      <c r="G9">
        <v>674</v>
      </c>
    </row>
    <row r="10" spans="1:12" x14ac:dyDescent="0.3">
      <c r="A10" t="s">
        <v>39</v>
      </c>
      <c r="B10">
        <v>2017</v>
      </c>
      <c r="C10">
        <v>1</v>
      </c>
      <c r="D10">
        <v>131</v>
      </c>
      <c r="F10" s="1" t="s">
        <v>43</v>
      </c>
      <c r="G10">
        <v>1356</v>
      </c>
    </row>
    <row r="11" spans="1:12" x14ac:dyDescent="0.3">
      <c r="A11" t="s">
        <v>40</v>
      </c>
      <c r="B11">
        <v>2016</v>
      </c>
      <c r="C11">
        <v>2</v>
      </c>
      <c r="D11">
        <v>132</v>
      </c>
      <c r="F11" s="1" t="s">
        <v>47</v>
      </c>
      <c r="G11">
        <v>831</v>
      </c>
    </row>
    <row r="12" spans="1:12" x14ac:dyDescent="0.3">
      <c r="A12" t="s">
        <v>42</v>
      </c>
      <c r="B12">
        <v>2016</v>
      </c>
      <c r="C12">
        <v>2</v>
      </c>
      <c r="D12">
        <v>135</v>
      </c>
      <c r="F12" s="1" t="s">
        <v>48</v>
      </c>
      <c r="G12">
        <v>1437</v>
      </c>
    </row>
    <row r="13" spans="1:12" x14ac:dyDescent="0.3">
      <c r="A13" t="s">
        <v>39</v>
      </c>
      <c r="B13">
        <v>2016</v>
      </c>
      <c r="C13">
        <v>1</v>
      </c>
      <c r="D13">
        <v>141</v>
      </c>
      <c r="F13" s="1" t="s">
        <v>46</v>
      </c>
      <c r="G13">
        <v>1409</v>
      </c>
    </row>
    <row r="14" spans="1:12" x14ac:dyDescent="0.3">
      <c r="A14" t="s">
        <v>41</v>
      </c>
      <c r="B14">
        <v>2017</v>
      </c>
      <c r="C14">
        <v>2</v>
      </c>
      <c r="D14">
        <v>141</v>
      </c>
    </row>
    <row r="15" spans="1:12" x14ac:dyDescent="0.3">
      <c r="A15" t="s">
        <v>45</v>
      </c>
      <c r="B15">
        <v>2017</v>
      </c>
      <c r="C15">
        <v>3</v>
      </c>
      <c r="D15">
        <v>143</v>
      </c>
    </row>
    <row r="16" spans="1:12" x14ac:dyDescent="0.3">
      <c r="A16" t="s">
        <v>42</v>
      </c>
      <c r="B16">
        <v>2017</v>
      </c>
      <c r="C16">
        <v>2</v>
      </c>
      <c r="D16">
        <v>146</v>
      </c>
    </row>
    <row r="17" spans="1:4" x14ac:dyDescent="0.3">
      <c r="A17" t="s">
        <v>45</v>
      </c>
      <c r="B17">
        <v>2016</v>
      </c>
      <c r="C17">
        <v>3</v>
      </c>
      <c r="D17">
        <v>149</v>
      </c>
    </row>
    <row r="18" spans="1:4" x14ac:dyDescent="0.3">
      <c r="A18" t="s">
        <v>44</v>
      </c>
      <c r="B18">
        <v>2017</v>
      </c>
      <c r="C18">
        <v>3</v>
      </c>
      <c r="D18">
        <v>149</v>
      </c>
    </row>
    <row r="19" spans="1:4" x14ac:dyDescent="0.3">
      <c r="A19" t="s">
        <v>44</v>
      </c>
      <c r="B19">
        <v>2016</v>
      </c>
      <c r="C19">
        <v>3</v>
      </c>
      <c r="D19">
        <v>151</v>
      </c>
    </row>
    <row r="20" spans="1:4" x14ac:dyDescent="0.3">
      <c r="A20" t="s">
        <v>40</v>
      </c>
      <c r="B20">
        <v>2017</v>
      </c>
      <c r="C20">
        <v>2</v>
      </c>
      <c r="D20">
        <v>156</v>
      </c>
    </row>
    <row r="21" spans="1:4" x14ac:dyDescent="0.3">
      <c r="A21" t="s">
        <v>45</v>
      </c>
      <c r="B21">
        <v>2018</v>
      </c>
      <c r="C21">
        <v>3</v>
      </c>
      <c r="D21">
        <v>156</v>
      </c>
    </row>
    <row r="22" spans="1:4" x14ac:dyDescent="0.3">
      <c r="A22" t="s">
        <v>39</v>
      </c>
      <c r="B22">
        <v>2018</v>
      </c>
      <c r="C22">
        <v>1</v>
      </c>
      <c r="D22">
        <v>157</v>
      </c>
    </row>
    <row r="23" spans="1:4" x14ac:dyDescent="0.3">
      <c r="A23" t="s">
        <v>47</v>
      </c>
      <c r="B23">
        <v>2017</v>
      </c>
      <c r="C23">
        <v>4</v>
      </c>
      <c r="D23">
        <v>167</v>
      </c>
    </row>
    <row r="24" spans="1:4" x14ac:dyDescent="0.3">
      <c r="A24" t="s">
        <v>47</v>
      </c>
      <c r="B24">
        <v>2016</v>
      </c>
      <c r="C24">
        <v>4</v>
      </c>
      <c r="D24">
        <v>169</v>
      </c>
    </row>
    <row r="25" spans="1:4" x14ac:dyDescent="0.3">
      <c r="A25" t="s">
        <v>38</v>
      </c>
      <c r="B25">
        <v>2019</v>
      </c>
      <c r="C25">
        <v>1</v>
      </c>
      <c r="D25">
        <v>173</v>
      </c>
    </row>
    <row r="26" spans="1:4" x14ac:dyDescent="0.3">
      <c r="A26" t="s">
        <v>42</v>
      </c>
      <c r="B26">
        <v>2018</v>
      </c>
      <c r="C26">
        <v>2</v>
      </c>
      <c r="D26">
        <v>175</v>
      </c>
    </row>
    <row r="27" spans="1:4" x14ac:dyDescent="0.3">
      <c r="A27" t="s">
        <v>41</v>
      </c>
      <c r="B27">
        <v>2018</v>
      </c>
      <c r="C27">
        <v>2</v>
      </c>
      <c r="D27">
        <v>184</v>
      </c>
    </row>
    <row r="28" spans="1:4" x14ac:dyDescent="0.3">
      <c r="A28" t="s">
        <v>42</v>
      </c>
      <c r="B28">
        <v>2019</v>
      </c>
      <c r="C28">
        <v>2</v>
      </c>
      <c r="D28">
        <v>197</v>
      </c>
    </row>
    <row r="29" spans="1:4" x14ac:dyDescent="0.3">
      <c r="A29" t="s">
        <v>44</v>
      </c>
      <c r="B29">
        <v>2018</v>
      </c>
      <c r="C29">
        <v>3</v>
      </c>
      <c r="D29">
        <v>199</v>
      </c>
    </row>
    <row r="30" spans="1:4" x14ac:dyDescent="0.3">
      <c r="A30" t="s">
        <v>47</v>
      </c>
      <c r="B30">
        <v>2018</v>
      </c>
      <c r="C30">
        <v>4</v>
      </c>
      <c r="D30">
        <v>200</v>
      </c>
    </row>
    <row r="31" spans="1:4" x14ac:dyDescent="0.3">
      <c r="A31" t="s">
        <v>44</v>
      </c>
      <c r="B31">
        <v>2019</v>
      </c>
      <c r="C31">
        <v>3</v>
      </c>
      <c r="D31">
        <v>222</v>
      </c>
    </row>
    <row r="32" spans="1:4" x14ac:dyDescent="0.3">
      <c r="A32" t="s">
        <v>39</v>
      </c>
      <c r="B32">
        <v>2019</v>
      </c>
      <c r="C32">
        <v>1</v>
      </c>
      <c r="D32">
        <v>225</v>
      </c>
    </row>
    <row r="33" spans="1:4" x14ac:dyDescent="0.3">
      <c r="A33" t="s">
        <v>45</v>
      </c>
      <c r="B33">
        <v>2019</v>
      </c>
      <c r="C33">
        <v>3</v>
      </c>
      <c r="D33">
        <v>226</v>
      </c>
    </row>
    <row r="34" spans="1:4" x14ac:dyDescent="0.3">
      <c r="A34" t="s">
        <v>40</v>
      </c>
      <c r="B34">
        <v>2018</v>
      </c>
      <c r="C34">
        <v>2</v>
      </c>
      <c r="D34">
        <v>234</v>
      </c>
    </row>
    <row r="35" spans="1:4" x14ac:dyDescent="0.3">
      <c r="A35" t="s">
        <v>41</v>
      </c>
      <c r="B35">
        <v>2019</v>
      </c>
      <c r="C35">
        <v>2</v>
      </c>
      <c r="D35">
        <v>243</v>
      </c>
    </row>
    <row r="36" spans="1:4" x14ac:dyDescent="0.3">
      <c r="A36" t="s">
        <v>40</v>
      </c>
      <c r="B36">
        <v>2019</v>
      </c>
      <c r="C36">
        <v>2</v>
      </c>
      <c r="D36">
        <v>243</v>
      </c>
    </row>
    <row r="37" spans="1:4" x14ac:dyDescent="0.3">
      <c r="A37" t="s">
        <v>43</v>
      </c>
      <c r="B37">
        <v>2016</v>
      </c>
      <c r="C37">
        <v>3</v>
      </c>
      <c r="D37">
        <v>248</v>
      </c>
    </row>
    <row r="38" spans="1:4" x14ac:dyDescent="0.3">
      <c r="A38" t="s">
        <v>46</v>
      </c>
      <c r="B38">
        <v>2016</v>
      </c>
      <c r="C38">
        <v>4</v>
      </c>
      <c r="D38">
        <v>255</v>
      </c>
    </row>
    <row r="39" spans="1:4" x14ac:dyDescent="0.3">
      <c r="A39" t="s">
        <v>43</v>
      </c>
      <c r="B39">
        <v>2017</v>
      </c>
      <c r="C39">
        <v>3</v>
      </c>
      <c r="D39">
        <v>289</v>
      </c>
    </row>
    <row r="40" spans="1:4" x14ac:dyDescent="0.3">
      <c r="A40" t="s">
        <v>47</v>
      </c>
      <c r="B40">
        <v>2019</v>
      </c>
      <c r="C40">
        <v>4</v>
      </c>
      <c r="D40">
        <v>295</v>
      </c>
    </row>
    <row r="41" spans="1:4" x14ac:dyDescent="0.3">
      <c r="A41" t="s">
        <v>48</v>
      </c>
      <c r="B41">
        <v>2017</v>
      </c>
      <c r="C41">
        <v>4</v>
      </c>
      <c r="D41">
        <v>307</v>
      </c>
    </row>
    <row r="42" spans="1:4" x14ac:dyDescent="0.3">
      <c r="A42" t="s">
        <v>48</v>
      </c>
      <c r="B42">
        <v>2016</v>
      </c>
      <c r="C42">
        <v>4</v>
      </c>
      <c r="D42">
        <v>313</v>
      </c>
    </row>
    <row r="43" spans="1:4" x14ac:dyDescent="0.3">
      <c r="A43" t="s">
        <v>46</v>
      </c>
      <c r="B43">
        <v>2017</v>
      </c>
      <c r="C43">
        <v>4</v>
      </c>
      <c r="D43">
        <v>334</v>
      </c>
    </row>
    <row r="44" spans="1:4" x14ac:dyDescent="0.3">
      <c r="A44" t="s">
        <v>46</v>
      </c>
      <c r="B44">
        <v>2018</v>
      </c>
      <c r="C44">
        <v>4</v>
      </c>
      <c r="D44">
        <v>350</v>
      </c>
    </row>
    <row r="45" spans="1:4" x14ac:dyDescent="0.3">
      <c r="A45" t="s">
        <v>43</v>
      </c>
      <c r="B45">
        <v>2018</v>
      </c>
      <c r="C45">
        <v>3</v>
      </c>
      <c r="D45">
        <v>367</v>
      </c>
    </row>
    <row r="46" spans="1:4" x14ac:dyDescent="0.3">
      <c r="A46" t="s">
        <v>48</v>
      </c>
      <c r="B46">
        <v>2018</v>
      </c>
      <c r="C46">
        <v>4</v>
      </c>
      <c r="D46">
        <v>368</v>
      </c>
    </row>
    <row r="47" spans="1:4" x14ac:dyDescent="0.3">
      <c r="A47" t="s">
        <v>48</v>
      </c>
      <c r="B47">
        <v>2019</v>
      </c>
      <c r="C47">
        <v>4</v>
      </c>
      <c r="D47">
        <v>449</v>
      </c>
    </row>
    <row r="48" spans="1:4" x14ac:dyDescent="0.3">
      <c r="A48" t="s">
        <v>43</v>
      </c>
      <c r="B48">
        <v>2019</v>
      </c>
      <c r="C48">
        <v>3</v>
      </c>
      <c r="D48">
        <v>452</v>
      </c>
    </row>
    <row r="49" spans="1:4" x14ac:dyDescent="0.3">
      <c r="A49" t="s">
        <v>46</v>
      </c>
      <c r="B49">
        <v>2019</v>
      </c>
      <c r="C49">
        <v>4</v>
      </c>
      <c r="D49">
        <v>470</v>
      </c>
    </row>
  </sheetData>
  <sortState xmlns:xlrd2="http://schemas.microsoft.com/office/spreadsheetml/2017/richdata2" ref="A2:D49">
    <sortCondition ref="D2:D49"/>
  </sortState>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17484-AAE9-4C19-9018-D02A15DF7AD8}">
  <dimension ref="A1:I14"/>
  <sheetViews>
    <sheetView workbookViewId="0">
      <selection activeCell="F9" sqref="F9"/>
    </sheetView>
  </sheetViews>
  <sheetFormatPr defaultRowHeight="14.4" x14ac:dyDescent="0.3"/>
  <cols>
    <col min="1" max="2" width="20.33203125" style="4" customWidth="1"/>
    <col min="3" max="3" width="13.21875" style="5" bestFit="1" customWidth="1"/>
    <col min="4" max="4" width="20.33203125" style="4" customWidth="1"/>
    <col min="5" max="6" width="8.88671875" style="4"/>
    <col min="7" max="7" width="19.77734375" style="4" bestFit="1" customWidth="1"/>
    <col min="8" max="10" width="10" style="4" bestFit="1" customWidth="1"/>
    <col min="11" max="11" width="11.6640625" style="4" bestFit="1" customWidth="1"/>
    <col min="12" max="12" width="10" style="4" bestFit="1" customWidth="1"/>
    <col min="13" max="14" width="9" style="4" bestFit="1" customWidth="1"/>
    <col min="15" max="15" width="10" style="4" bestFit="1" customWidth="1"/>
    <col min="16" max="16384" width="8.88671875" style="4"/>
  </cols>
  <sheetData>
    <row r="1" spans="1:9" x14ac:dyDescent="0.3">
      <c r="A1" s="4" t="s">
        <v>51</v>
      </c>
      <c r="B1" s="4" t="s">
        <v>28</v>
      </c>
      <c r="C1" s="5" t="s">
        <v>52</v>
      </c>
      <c r="D1" s="5" t="s">
        <v>3</v>
      </c>
    </row>
    <row r="2" spans="1:9" x14ac:dyDescent="0.3">
      <c r="A2" s="4" t="s">
        <v>17</v>
      </c>
      <c r="B2" s="4" t="s">
        <v>32</v>
      </c>
      <c r="C2" s="5">
        <v>102446.42</v>
      </c>
      <c r="D2" s="4">
        <v>1</v>
      </c>
    </row>
    <row r="3" spans="1:9" x14ac:dyDescent="0.3">
      <c r="A3" s="4" t="s">
        <v>17</v>
      </c>
      <c r="B3" s="4" t="s">
        <v>31</v>
      </c>
      <c r="C3" s="5">
        <v>100734.11</v>
      </c>
      <c r="D3" s="4">
        <v>2</v>
      </c>
    </row>
    <row r="4" spans="1:9" x14ac:dyDescent="0.3">
      <c r="A4" s="4" t="s">
        <v>17</v>
      </c>
      <c r="B4" s="4" t="s">
        <v>30</v>
      </c>
      <c r="C4" s="5">
        <v>99564.25</v>
      </c>
      <c r="D4" s="4">
        <v>3</v>
      </c>
      <c r="G4" s="4" t="s">
        <v>53</v>
      </c>
      <c r="H4" s="4" t="s">
        <v>54</v>
      </c>
    </row>
    <row r="5" spans="1:9" x14ac:dyDescent="0.3">
      <c r="A5" s="4" t="s">
        <v>18</v>
      </c>
      <c r="B5" s="4" t="s">
        <v>30</v>
      </c>
      <c r="C5" s="5">
        <v>100174.25</v>
      </c>
      <c r="D5" s="4">
        <v>1</v>
      </c>
      <c r="G5" s="4" t="s">
        <v>3</v>
      </c>
      <c r="H5" s="4" t="s">
        <v>17</v>
      </c>
      <c r="I5" s="4" t="s">
        <v>18</v>
      </c>
    </row>
    <row r="6" spans="1:9" x14ac:dyDescent="0.3">
      <c r="A6" s="4" t="s">
        <v>18</v>
      </c>
      <c r="B6" s="4" t="s">
        <v>32</v>
      </c>
      <c r="C6" s="5">
        <v>99905.03</v>
      </c>
      <c r="D6" s="4">
        <v>2</v>
      </c>
      <c r="G6" s="6">
        <v>1</v>
      </c>
      <c r="H6" s="4">
        <v>102446.42</v>
      </c>
      <c r="I6" s="4">
        <v>100174.25</v>
      </c>
    </row>
    <row r="7" spans="1:9" x14ac:dyDescent="0.3">
      <c r="A7" s="4" t="s">
        <v>18</v>
      </c>
      <c r="B7" s="4" t="s">
        <v>31</v>
      </c>
      <c r="C7" s="5">
        <v>98425.69</v>
      </c>
      <c r="D7" s="4">
        <v>3</v>
      </c>
      <c r="G7" s="7" t="s">
        <v>30</v>
      </c>
      <c r="I7" s="4">
        <v>100174.25</v>
      </c>
    </row>
    <row r="8" spans="1:9" x14ac:dyDescent="0.3">
      <c r="G8" s="7" t="s">
        <v>32</v>
      </c>
      <c r="H8" s="4">
        <v>102446.42</v>
      </c>
    </row>
    <row r="9" spans="1:9" x14ac:dyDescent="0.3">
      <c r="G9" s="6">
        <v>2</v>
      </c>
      <c r="H9" s="4">
        <v>100734.11</v>
      </c>
      <c r="I9" s="4">
        <v>99905.03</v>
      </c>
    </row>
    <row r="10" spans="1:9" x14ac:dyDescent="0.3">
      <c r="G10" s="7" t="s">
        <v>32</v>
      </c>
      <c r="I10" s="4">
        <v>99905.03</v>
      </c>
    </row>
    <row r="11" spans="1:9" x14ac:dyDescent="0.3">
      <c r="G11" s="7" t="s">
        <v>31</v>
      </c>
      <c r="H11" s="4">
        <v>100734.11</v>
      </c>
    </row>
    <row r="12" spans="1:9" x14ac:dyDescent="0.3">
      <c r="G12" s="6">
        <v>3</v>
      </c>
      <c r="H12" s="4">
        <v>99564.25</v>
      </c>
      <c r="I12" s="4">
        <v>98425.69</v>
      </c>
    </row>
    <row r="13" spans="1:9" x14ac:dyDescent="0.3">
      <c r="G13" s="7" t="s">
        <v>30</v>
      </c>
      <c r="H13" s="4">
        <v>99564.25</v>
      </c>
    </row>
    <row r="14" spans="1:9" x14ac:dyDescent="0.3">
      <c r="G14" s="7" t="s">
        <v>31</v>
      </c>
      <c r="I14" s="4">
        <v>98425.69</v>
      </c>
    </row>
  </sheetData>
  <pageMargins left="0.75" right="0.75" top="1" bottom="1" header="0.5" footer="0.5"/>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8BE12-F030-44FE-93D6-2A3A80FB044F}">
  <dimension ref="A1:B4"/>
  <sheetViews>
    <sheetView workbookViewId="0">
      <selection activeCell="K25" sqref="K25"/>
    </sheetView>
  </sheetViews>
  <sheetFormatPr defaultRowHeight="14.4" x14ac:dyDescent="0.3"/>
  <cols>
    <col min="1" max="1" width="9.77734375" bestFit="1" customWidth="1"/>
    <col min="2" max="2" width="10.109375" bestFit="1" customWidth="1"/>
  </cols>
  <sheetData>
    <row r="1" spans="1:2" x14ac:dyDescent="0.3">
      <c r="A1" t="s">
        <v>55</v>
      </c>
      <c r="B1" t="s">
        <v>56</v>
      </c>
    </row>
    <row r="2" spans="1:2" x14ac:dyDescent="0.3">
      <c r="A2" t="s">
        <v>57</v>
      </c>
      <c r="B2">
        <v>4.78</v>
      </c>
    </row>
    <row r="3" spans="1:2" x14ac:dyDescent="0.3">
      <c r="A3" t="s">
        <v>58</v>
      </c>
      <c r="B3">
        <v>4.8899999999999997</v>
      </c>
    </row>
    <row r="4" spans="1:2" x14ac:dyDescent="0.3">
      <c r="A4" t="s">
        <v>59</v>
      </c>
      <c r="B4">
        <v>4.83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6C87D-8A0B-4C14-A508-0B15D631CDA5}">
  <dimension ref="A1:G9"/>
  <sheetViews>
    <sheetView tabSelected="1" workbookViewId="0">
      <selection sqref="A1:D5"/>
    </sheetView>
  </sheetViews>
  <sheetFormatPr defaultRowHeight="14.4" x14ac:dyDescent="0.3"/>
  <cols>
    <col min="1" max="1" width="13.109375" bestFit="1" customWidth="1"/>
    <col min="2" max="2" width="7.77734375" bestFit="1" customWidth="1"/>
    <col min="3" max="3" width="11.21875" style="2" bestFit="1" customWidth="1"/>
    <col min="4" max="4" width="8.88671875" style="2"/>
    <col min="6" max="6" width="16.109375" bestFit="1" customWidth="1"/>
    <col min="7" max="7" width="8.5546875" bestFit="1" customWidth="1"/>
  </cols>
  <sheetData>
    <row r="1" spans="1:7" x14ac:dyDescent="0.3">
      <c r="A1" t="s">
        <v>22</v>
      </c>
      <c r="B1" t="s">
        <v>23</v>
      </c>
      <c r="C1" s="2" t="s">
        <v>61</v>
      </c>
      <c r="D1" s="2" t="s">
        <v>3</v>
      </c>
      <c r="F1" s="3" t="s">
        <v>66</v>
      </c>
      <c r="G1" t="s">
        <v>67</v>
      </c>
    </row>
    <row r="2" spans="1:7" x14ac:dyDescent="0.3">
      <c r="A2" t="s">
        <v>24</v>
      </c>
      <c r="B2">
        <v>7.53</v>
      </c>
      <c r="C2" s="2" t="s">
        <v>62</v>
      </c>
      <c r="D2" s="2">
        <f>RANK(B2,$B$2:$B$5,0)</f>
        <v>1</v>
      </c>
      <c r="F2" s="1">
        <v>1</v>
      </c>
      <c r="G2">
        <v>7.53</v>
      </c>
    </row>
    <row r="3" spans="1:7" x14ac:dyDescent="0.3">
      <c r="A3" t="s">
        <v>25</v>
      </c>
      <c r="B3">
        <v>6.6</v>
      </c>
      <c r="C3" s="2" t="s">
        <v>63</v>
      </c>
      <c r="D3" s="2">
        <f>RANK(B3,$B$2:$B$5,0)</f>
        <v>2</v>
      </c>
      <c r="F3" s="8" t="s">
        <v>24</v>
      </c>
      <c r="G3">
        <v>7.53</v>
      </c>
    </row>
    <row r="4" spans="1:7" x14ac:dyDescent="0.3">
      <c r="A4" t="s">
        <v>60</v>
      </c>
      <c r="B4">
        <v>3.13</v>
      </c>
      <c r="C4" s="2" t="s">
        <v>64</v>
      </c>
      <c r="D4" s="2">
        <f>RANK(B4,$B$2:$B$5,0)</f>
        <v>3</v>
      </c>
      <c r="F4" s="1">
        <v>2</v>
      </c>
      <c r="G4">
        <v>6.6</v>
      </c>
    </row>
    <row r="5" spans="1:7" x14ac:dyDescent="0.3">
      <c r="A5" t="s">
        <v>27</v>
      </c>
      <c r="B5">
        <v>3.11</v>
      </c>
      <c r="C5" s="2" t="s">
        <v>65</v>
      </c>
      <c r="D5" s="2">
        <f>RANK(B5,$B$2:$B$5,0)</f>
        <v>4</v>
      </c>
      <c r="F5" s="8" t="s">
        <v>25</v>
      </c>
      <c r="G5">
        <v>6.6</v>
      </c>
    </row>
    <row r="6" spans="1:7" x14ac:dyDescent="0.3">
      <c r="F6" s="1">
        <v>3</v>
      </c>
      <c r="G6">
        <v>3.13</v>
      </c>
    </row>
    <row r="7" spans="1:7" x14ac:dyDescent="0.3">
      <c r="F7" s="8" t="s">
        <v>60</v>
      </c>
      <c r="G7">
        <v>3.13</v>
      </c>
    </row>
    <row r="8" spans="1:7" x14ac:dyDescent="0.3">
      <c r="F8" s="1">
        <v>4</v>
      </c>
      <c r="G8">
        <v>3.11</v>
      </c>
    </row>
    <row r="9" spans="1:7" x14ac:dyDescent="0.3">
      <c r="F9" s="8" t="s">
        <v>27</v>
      </c>
      <c r="G9">
        <v>3.11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EB288-C441-48FB-9256-31C8E0A7B427}">
  <dimension ref="A1:K13"/>
  <sheetViews>
    <sheetView topLeftCell="D1" workbookViewId="0">
      <selection activeCell="N5" sqref="N5"/>
    </sheetView>
  </sheetViews>
  <sheetFormatPr defaultRowHeight="14.4" x14ac:dyDescent="0.3"/>
  <cols>
    <col min="1" max="1" width="16.21875" bestFit="1" customWidth="1"/>
    <col min="2" max="2" width="15.5546875" bestFit="1" customWidth="1"/>
    <col min="3" max="3" width="14.6640625" bestFit="1" customWidth="1"/>
    <col min="4" max="4" width="15" bestFit="1" customWidth="1"/>
    <col min="7" max="7" width="25.109375" bestFit="1" customWidth="1"/>
    <col min="8" max="8" width="15.6640625" bestFit="1" customWidth="1"/>
    <col min="9" max="9" width="24" bestFit="1" customWidth="1"/>
    <col min="10" max="10" width="25.109375" bestFit="1" customWidth="1"/>
    <col min="11" max="11" width="21.5546875" bestFit="1" customWidth="1"/>
  </cols>
  <sheetData>
    <row r="1" spans="1:11" x14ac:dyDescent="0.3">
      <c r="A1" t="s">
        <v>68</v>
      </c>
      <c r="B1" t="s">
        <v>69</v>
      </c>
      <c r="C1" t="s">
        <v>70</v>
      </c>
      <c r="D1" t="s">
        <v>71</v>
      </c>
      <c r="G1" s="3" t="s">
        <v>77</v>
      </c>
      <c r="H1" t="s">
        <v>78</v>
      </c>
      <c r="J1" s="3" t="s">
        <v>77</v>
      </c>
      <c r="K1" t="s">
        <v>76</v>
      </c>
    </row>
    <row r="2" spans="1:11" x14ac:dyDescent="0.3">
      <c r="A2" t="s">
        <v>30</v>
      </c>
      <c r="B2" t="s">
        <v>72</v>
      </c>
      <c r="C2" t="s">
        <v>73</v>
      </c>
      <c r="D2">
        <v>132</v>
      </c>
      <c r="G2" s="1" t="s">
        <v>73</v>
      </c>
      <c r="H2">
        <v>3171</v>
      </c>
      <c r="J2" s="1" t="s">
        <v>72</v>
      </c>
      <c r="K2">
        <v>969</v>
      </c>
    </row>
    <row r="3" spans="1:11" x14ac:dyDescent="0.3">
      <c r="A3" t="s">
        <v>30</v>
      </c>
      <c r="B3" t="s">
        <v>72</v>
      </c>
      <c r="C3" t="s">
        <v>74</v>
      </c>
      <c r="D3">
        <v>300</v>
      </c>
      <c r="G3" s="8" t="s">
        <v>30</v>
      </c>
      <c r="H3">
        <v>1575</v>
      </c>
      <c r="J3" s="8" t="s">
        <v>30</v>
      </c>
      <c r="K3">
        <v>432</v>
      </c>
    </row>
    <row r="4" spans="1:11" x14ac:dyDescent="0.3">
      <c r="A4" t="s">
        <v>30</v>
      </c>
      <c r="B4" t="s">
        <v>75</v>
      </c>
      <c r="C4" t="s">
        <v>73</v>
      </c>
      <c r="D4">
        <v>1443</v>
      </c>
      <c r="G4" s="8" t="s">
        <v>32</v>
      </c>
      <c r="H4">
        <v>800</v>
      </c>
      <c r="J4" s="8" t="s">
        <v>32</v>
      </c>
      <c r="K4">
        <v>314</v>
      </c>
    </row>
    <row r="5" spans="1:11" x14ac:dyDescent="0.3">
      <c r="A5" t="s">
        <v>30</v>
      </c>
      <c r="B5" t="s">
        <v>75</v>
      </c>
      <c r="C5" t="s">
        <v>74</v>
      </c>
      <c r="D5">
        <v>3139</v>
      </c>
      <c r="G5" s="8" t="s">
        <v>31</v>
      </c>
      <c r="H5">
        <v>796</v>
      </c>
      <c r="J5" s="8" t="s">
        <v>31</v>
      </c>
      <c r="K5">
        <v>223</v>
      </c>
    </row>
    <row r="6" spans="1:11" x14ac:dyDescent="0.3">
      <c r="A6" t="s">
        <v>32</v>
      </c>
      <c r="B6" t="s">
        <v>72</v>
      </c>
      <c r="C6" t="s">
        <v>73</v>
      </c>
      <c r="D6">
        <v>103</v>
      </c>
      <c r="G6" s="1" t="s">
        <v>74</v>
      </c>
      <c r="H6">
        <v>6829</v>
      </c>
      <c r="J6" s="1" t="s">
        <v>75</v>
      </c>
      <c r="K6">
        <v>9031</v>
      </c>
    </row>
    <row r="7" spans="1:11" x14ac:dyDescent="0.3">
      <c r="A7" t="s">
        <v>32</v>
      </c>
      <c r="B7" t="s">
        <v>72</v>
      </c>
      <c r="C7" t="s">
        <v>74</v>
      </c>
      <c r="D7">
        <v>211</v>
      </c>
      <c r="G7" s="8" t="s">
        <v>30</v>
      </c>
      <c r="H7">
        <v>3439</v>
      </c>
      <c r="J7" s="8" t="s">
        <v>30</v>
      </c>
      <c r="K7">
        <v>4582</v>
      </c>
    </row>
    <row r="8" spans="1:11" x14ac:dyDescent="0.3">
      <c r="A8" t="s">
        <v>32</v>
      </c>
      <c r="B8" t="s">
        <v>75</v>
      </c>
      <c r="C8" t="s">
        <v>73</v>
      </c>
      <c r="D8">
        <v>697</v>
      </c>
      <c r="G8" s="8" t="s">
        <v>32</v>
      </c>
      <c r="H8">
        <v>1709</v>
      </c>
      <c r="J8" s="8" t="s">
        <v>32</v>
      </c>
      <c r="K8">
        <v>2195</v>
      </c>
    </row>
    <row r="9" spans="1:11" x14ac:dyDescent="0.3">
      <c r="A9" t="s">
        <v>32</v>
      </c>
      <c r="B9" t="s">
        <v>75</v>
      </c>
      <c r="C9" t="s">
        <v>74</v>
      </c>
      <c r="D9">
        <v>1498</v>
      </c>
      <c r="G9" s="8" t="s">
        <v>31</v>
      </c>
      <c r="H9">
        <v>1681</v>
      </c>
      <c r="J9" s="8" t="s">
        <v>31</v>
      </c>
      <c r="K9">
        <v>2254</v>
      </c>
    </row>
    <row r="10" spans="1:11" x14ac:dyDescent="0.3">
      <c r="A10" t="s">
        <v>31</v>
      </c>
      <c r="B10" t="s">
        <v>72</v>
      </c>
      <c r="C10" t="s">
        <v>73</v>
      </c>
      <c r="D10">
        <v>75</v>
      </c>
    </row>
    <row r="11" spans="1:11" x14ac:dyDescent="0.3">
      <c r="A11" t="s">
        <v>31</v>
      </c>
      <c r="B11" t="s">
        <v>72</v>
      </c>
      <c r="C11" t="s">
        <v>74</v>
      </c>
      <c r="D11">
        <v>148</v>
      </c>
    </row>
    <row r="12" spans="1:11" x14ac:dyDescent="0.3">
      <c r="A12" t="s">
        <v>31</v>
      </c>
      <c r="B12" t="s">
        <v>75</v>
      </c>
      <c r="C12" t="s">
        <v>73</v>
      </c>
      <c r="D12">
        <v>721</v>
      </c>
    </row>
    <row r="13" spans="1:11" x14ac:dyDescent="0.3">
      <c r="A13" t="s">
        <v>31</v>
      </c>
      <c r="B13" t="s">
        <v>75</v>
      </c>
      <c r="C13" t="s">
        <v>74</v>
      </c>
      <c r="D13">
        <v>1533</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Objective Q2</vt:lpstr>
      <vt:lpstr>Objective Q5</vt:lpstr>
      <vt:lpstr>Objective 6</vt:lpstr>
      <vt:lpstr>Qbjective 7</vt:lpstr>
      <vt:lpstr>Objective 8</vt:lpstr>
      <vt:lpstr>Objective 11</vt:lpstr>
      <vt:lpstr>Objective 15</vt:lpstr>
      <vt:lpstr>Objective 16</vt:lpstr>
      <vt:lpstr>Objective 19</vt:lpstr>
      <vt:lpstr>Subjective Q9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Rajat9891875491 kumar</dc:creator>
  <cp:lastModifiedBy>Rajat9891875491 kumar</cp:lastModifiedBy>
  <dcterms:created xsi:type="dcterms:W3CDTF">2026-01-22T19:18:29Z</dcterms:created>
  <dcterms:modified xsi:type="dcterms:W3CDTF">2026-02-15T11:25:10Z</dcterms:modified>
</cp:coreProperties>
</file>